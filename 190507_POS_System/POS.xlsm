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24226"/>
  <bookViews>
    <workbookView xWindow="240" yWindow="105" windowWidth="14805" windowHeight="8010"/>
  </bookViews>
  <sheets>
    <sheet name="Config" sheetId="1" r:id="rId1"/>
    <sheet name="Item" sheetId="2" r:id="rId2"/>
    <sheet name="Record" sheetId="3" r:id="rId3"/>
    <sheet name="Analysis" sheetId="4" r:id="rId4"/>
    <sheet name="Memo" sheetId="6" r:id="rId5"/>
    <sheet name="Log" sheetId="5" r:id="rId6"/>
  </sheets>
  <functionGroups builtInGroupCount="18"/>
  <definedNames>
    <definedName name="_xlnm._FilterDatabase" localSheetId="5" hidden="1">Log!$A$1:$D$1</definedName>
    <definedName name="_xlnm.Print_Area" localSheetId="4">Memo!$A$1:$F$23</definedName>
  </definedNames>
  <calcPr calcId="152511"/>
  <pivotCaches>
    <pivotCache cacheId="6" r:id="rId7"/>
  </pivotCaches>
</workbook>
</file>

<file path=xl/calcChain.xml><?xml version="1.0" encoding="utf-8"?>
<calcChain xmlns="http://schemas.openxmlformats.org/spreadsheetml/2006/main">
  <c r="E8" i="6" l="1"/>
  <c r="E9" i="6"/>
  <c r="E10" i="6"/>
  <c r="E11" i="6"/>
  <c r="E12" i="6"/>
  <c r="E13" i="6"/>
  <c r="E14" i="6"/>
  <c r="E15" i="6"/>
  <c r="E16" i="6"/>
  <c r="E17" i="6"/>
  <c r="E18" i="6"/>
  <c r="E19" i="6"/>
  <c r="E20" i="6"/>
  <c r="E7" i="6"/>
  <c r="E22" i="6" l="1"/>
</calcChain>
</file>

<file path=xl/sharedStrings.xml><?xml version="1.0" encoding="utf-8"?>
<sst xmlns="http://schemas.openxmlformats.org/spreadsheetml/2006/main" count="403" uniqueCount="134">
  <si>
    <t>Item</t>
    <phoneticPr fontId="1" type="noConversion"/>
  </si>
  <si>
    <t>Description</t>
    <phoneticPr fontId="1" type="noConversion"/>
  </si>
  <si>
    <t>Price</t>
    <phoneticPr fontId="1" type="noConversion"/>
  </si>
  <si>
    <t>Category</t>
    <phoneticPr fontId="1" type="noConversion"/>
  </si>
  <si>
    <t>Ticket ID</t>
    <phoneticPr fontId="1" type="noConversion"/>
  </si>
  <si>
    <t>Trade Time</t>
    <phoneticPr fontId="1" type="noConversion"/>
  </si>
  <si>
    <t>ID</t>
    <phoneticPr fontId="1" type="noConversion"/>
  </si>
  <si>
    <t>Item ID</t>
    <phoneticPr fontId="1" type="noConversion"/>
  </si>
  <si>
    <t>Quantity</t>
    <phoneticPr fontId="1" type="noConversion"/>
  </si>
  <si>
    <t>Parameter</t>
    <phoneticPr fontId="1" type="noConversion"/>
  </si>
  <si>
    <t>Value</t>
    <phoneticPr fontId="1" type="noConversion"/>
  </si>
  <si>
    <t>Remark</t>
    <phoneticPr fontId="1" type="noConversion"/>
  </si>
  <si>
    <t>iPhone XS</t>
    <phoneticPr fontId="1" type="noConversion"/>
  </si>
  <si>
    <t>Mobile</t>
    <phoneticPr fontId="1" type="noConversion"/>
  </si>
  <si>
    <t>Function</t>
    <phoneticPr fontId="1" type="noConversion"/>
  </si>
  <si>
    <t>Description</t>
    <phoneticPr fontId="1" type="noConversion"/>
  </si>
  <si>
    <t>Status</t>
    <phoneticPr fontId="1" type="noConversion"/>
  </si>
  <si>
    <t>Apple TV</t>
    <phoneticPr fontId="1" type="noConversion"/>
  </si>
  <si>
    <t xml:space="preserve">
Electrical Appliances</t>
    <phoneticPr fontId="1" type="noConversion"/>
  </si>
  <si>
    <t>iPad</t>
    <phoneticPr fontId="1" type="noConversion"/>
  </si>
  <si>
    <t>Quantity in 
Warehouse</t>
    <phoneticPr fontId="1" type="noConversion"/>
  </si>
  <si>
    <t>Userform</t>
    <phoneticPr fontId="1" type="noConversion"/>
  </si>
  <si>
    <t>Auto Generated Userform</t>
    <phoneticPr fontId="1" type="noConversion"/>
  </si>
  <si>
    <t>Userform</t>
    <phoneticPr fontId="1" type="noConversion"/>
  </si>
  <si>
    <t>Normal Userform</t>
    <phoneticPr fontId="1" type="noConversion"/>
  </si>
  <si>
    <t>OK</t>
    <phoneticPr fontId="1" type="noConversion"/>
  </si>
  <si>
    <t>Quantity with Checking</t>
    <phoneticPr fontId="1" type="noConversion"/>
  </si>
  <si>
    <t>Confirmation Process</t>
    <phoneticPr fontId="1" type="noConversion"/>
  </si>
  <si>
    <t>M1</t>
    <phoneticPr fontId="1" type="noConversion"/>
  </si>
  <si>
    <t>M2</t>
    <phoneticPr fontId="1" type="noConversion"/>
  </si>
  <si>
    <t>M3</t>
    <phoneticPr fontId="1" type="noConversion"/>
  </si>
  <si>
    <t>E1</t>
    <phoneticPr fontId="1" type="noConversion"/>
  </si>
  <si>
    <t>E2</t>
    <phoneticPr fontId="1" type="noConversion"/>
  </si>
  <si>
    <t>Logging</t>
    <phoneticPr fontId="1" type="noConversion"/>
  </si>
  <si>
    <t>OK</t>
    <phoneticPr fontId="1" type="noConversion"/>
  </si>
  <si>
    <t>E2</t>
  </si>
  <si>
    <t>iPad</t>
  </si>
  <si>
    <t>M3</t>
  </si>
  <si>
    <t>M2</t>
  </si>
  <si>
    <t>M1</t>
  </si>
  <si>
    <t>iPhone XS</t>
  </si>
  <si>
    <t>E1</t>
  </si>
  <si>
    <t>Apple TV</t>
  </si>
  <si>
    <t>Quantity</t>
    <phoneticPr fontId="5" type="noConversion"/>
  </si>
  <si>
    <t>XXX Company</t>
    <phoneticPr fontId="5" type="noConversion"/>
  </si>
  <si>
    <t>Amount</t>
    <phoneticPr fontId="5" type="noConversion"/>
  </si>
  <si>
    <t>Item</t>
    <phoneticPr fontId="5" type="noConversion"/>
  </si>
  <si>
    <t>Datetime</t>
    <phoneticPr fontId="5" type="noConversion"/>
  </si>
  <si>
    <t>Total</t>
    <phoneticPr fontId="1" type="noConversion"/>
  </si>
  <si>
    <t>No.</t>
    <phoneticPr fontId="5" type="noConversion"/>
  </si>
  <si>
    <t>Receipt</t>
    <phoneticPr fontId="5" type="noConversion"/>
  </si>
  <si>
    <t>Price</t>
    <phoneticPr fontId="1" type="noConversion"/>
  </si>
  <si>
    <t>Again Button</t>
    <phoneticPr fontId="1" type="noConversion"/>
  </si>
  <si>
    <t>C1</t>
  </si>
  <si>
    <t>C1</t>
    <phoneticPr fontId="1" type="noConversion"/>
  </si>
  <si>
    <t>Galaxy S8</t>
  </si>
  <si>
    <t>Galaxy S8</t>
    <phoneticPr fontId="1" type="noConversion"/>
  </si>
  <si>
    <t>Camera</t>
    <phoneticPr fontId="1" type="noConversion"/>
  </si>
  <si>
    <t>C2</t>
    <phoneticPr fontId="1" type="noConversion"/>
  </si>
  <si>
    <t>Canon 6D</t>
  </si>
  <si>
    <t>Canon 6D</t>
    <phoneticPr fontId="1" type="noConversion"/>
  </si>
  <si>
    <t>Sony A7</t>
    <phoneticPr fontId="1" type="noConversion"/>
  </si>
  <si>
    <t>iPhone X</t>
  </si>
  <si>
    <t>iPhone X</t>
    <phoneticPr fontId="1" type="noConversion"/>
  </si>
  <si>
    <t>O1</t>
    <phoneticPr fontId="1" type="noConversion"/>
  </si>
  <si>
    <t>O2</t>
    <phoneticPr fontId="1" type="noConversion"/>
  </si>
  <si>
    <t>Seiko MM</t>
    <phoneticPr fontId="1" type="noConversion"/>
  </si>
  <si>
    <t>Other</t>
    <phoneticPr fontId="1" type="noConversion"/>
  </si>
  <si>
    <t>DOXA Shark</t>
    <phoneticPr fontId="1" type="noConversion"/>
  </si>
  <si>
    <t>Huawai P30</t>
  </si>
  <si>
    <t>Huawai P30</t>
    <phoneticPr fontId="1" type="noConversion"/>
  </si>
  <si>
    <t>Auto Calcuation on Total Quantity, Amount, Inventory</t>
    <phoneticPr fontId="1" type="noConversion"/>
  </si>
  <si>
    <t>Fruit</t>
    <phoneticPr fontId="1" type="noConversion"/>
  </si>
  <si>
    <t>F1</t>
    <phoneticPr fontId="1" type="noConversion"/>
  </si>
  <si>
    <t>F2</t>
  </si>
  <si>
    <t>F2</t>
    <phoneticPr fontId="1" type="noConversion"/>
  </si>
  <si>
    <t>F3</t>
    <phoneticPr fontId="1" type="noConversion"/>
  </si>
  <si>
    <t>Orange</t>
    <phoneticPr fontId="1" type="noConversion"/>
  </si>
  <si>
    <t>Mango</t>
  </si>
  <si>
    <t>Mango</t>
    <phoneticPr fontId="1" type="noConversion"/>
  </si>
  <si>
    <t>Cherry</t>
    <phoneticPr fontId="1" type="noConversion"/>
  </si>
  <si>
    <t>Next Page (How to handle cart item in different page)</t>
    <phoneticPr fontId="1" type="noConversion"/>
  </si>
  <si>
    <t>CartList Section</t>
    <phoneticPr fontId="1" type="noConversion"/>
  </si>
  <si>
    <t>C2</t>
  </si>
  <si>
    <t>Sony A7</t>
  </si>
  <si>
    <t>O2</t>
  </si>
  <si>
    <t>DOXA Shark</t>
  </si>
  <si>
    <t>O1</t>
  </si>
  <si>
    <t>Seiko MM</t>
  </si>
  <si>
    <t>Total Amount</t>
    <phoneticPr fontId="5" type="noConversion"/>
  </si>
  <si>
    <t>F3</t>
  </si>
  <si>
    <t>Cherry</t>
  </si>
  <si>
    <t>Currency Formatting</t>
    <phoneticPr fontId="1" type="noConversion"/>
  </si>
  <si>
    <t>Create/ Update Logging.txt (Trace time, click, input)</t>
    <phoneticPr fontId="1" type="noConversion"/>
  </si>
  <si>
    <t>Inventory Module</t>
    <phoneticPr fontId="1" type="noConversion"/>
  </si>
  <si>
    <t>Banned Item</t>
    <phoneticPr fontId="1" type="noConversion"/>
  </si>
  <si>
    <t>Total - Quantity</t>
  </si>
  <si>
    <t>列標籤</t>
  </si>
  <si>
    <t>總計</t>
  </si>
  <si>
    <t>Pend</t>
    <phoneticPr fontId="1" type="noConversion"/>
  </si>
  <si>
    <t>Remark</t>
    <phoneticPr fontId="1" type="noConversion"/>
  </si>
  <si>
    <t>In this phase due to many limitation.</t>
    <phoneticPr fontId="1" type="noConversion"/>
  </si>
  <si>
    <t>Pend</t>
    <phoneticPr fontId="1" type="noConversion"/>
  </si>
  <si>
    <t>Combine Items</t>
    <phoneticPr fontId="1" type="noConversion"/>
  </si>
  <si>
    <t>Input Panel too large</t>
    <phoneticPr fontId="1" type="noConversion"/>
  </si>
  <si>
    <t>Remove Item</t>
    <phoneticPr fontId="1" type="noConversion"/>
  </si>
  <si>
    <t>Prevent '03' Case, Order Quantity can't be large than Warehouse Quanity</t>
    <phoneticPr fontId="1" type="noConversion"/>
  </si>
  <si>
    <t>Remove Selected Item Confirmation</t>
    <phoneticPr fontId="1" type="noConversion"/>
  </si>
  <si>
    <t>After Confirm, Show the Update Display</t>
    <phoneticPr fontId="1" type="noConversion"/>
  </si>
  <si>
    <t>After Confirm, Clear Cart Display</t>
    <phoneticPr fontId="1" type="noConversion"/>
  </si>
  <si>
    <t>Item List</t>
    <phoneticPr fontId="1" type="noConversion"/>
  </si>
  <si>
    <t>Null Record Handling for ItemList</t>
    <phoneticPr fontId="1" type="noConversion"/>
  </si>
  <si>
    <t>Null Record Handling for Listbox</t>
    <phoneticPr fontId="1" type="noConversion"/>
  </si>
  <si>
    <t>Item List</t>
    <phoneticPr fontId="1" type="noConversion"/>
  </si>
  <si>
    <t>OK</t>
    <phoneticPr fontId="1" type="noConversion"/>
  </si>
  <si>
    <t>Cart List</t>
    <phoneticPr fontId="1" type="noConversion"/>
  </si>
  <si>
    <t>Confirmation</t>
    <phoneticPr fontId="1" type="noConversion"/>
  </si>
  <si>
    <t>Quantity Input</t>
    <phoneticPr fontId="1" type="noConversion"/>
  </si>
  <si>
    <t>Cart List</t>
    <phoneticPr fontId="1" type="noConversion"/>
  </si>
  <si>
    <t>Get the input and Display the in Item Sheet</t>
    <phoneticPr fontId="1" type="noConversion"/>
  </si>
  <si>
    <t>Sheet</t>
    <phoneticPr fontId="1" type="noConversion"/>
  </si>
  <si>
    <t>Get the input and Display the in Record Sheet</t>
    <phoneticPr fontId="1" type="noConversion"/>
  </si>
  <si>
    <t>Get the input and Display the in Analysis Sheet</t>
    <phoneticPr fontId="1" type="noConversion"/>
  </si>
  <si>
    <t>Alert once for removed item</t>
    <phoneticPr fontId="1" type="noConversion"/>
  </si>
  <si>
    <t>Normal</t>
    <phoneticPr fontId="1" type="noConversion"/>
  </si>
  <si>
    <t>Multi Memo Sheet</t>
    <phoneticPr fontId="1" type="noConversion"/>
  </si>
  <si>
    <t>Get the input and Display the in Single Memo Sheet</t>
    <phoneticPr fontId="1" type="noConversion"/>
  </si>
  <si>
    <t>Memo</t>
    <phoneticPr fontId="1" type="noConversion"/>
  </si>
  <si>
    <t>Memo</t>
    <phoneticPr fontId="1" type="noConversion"/>
  </si>
  <si>
    <t>If the Cart is Empty, Not allow to confirm</t>
    <phoneticPr fontId="1" type="noConversion"/>
  </si>
  <si>
    <t>NA</t>
    <phoneticPr fontId="1" type="noConversion"/>
  </si>
  <si>
    <t>Ordering</t>
    <phoneticPr fontId="1" type="noConversion"/>
  </si>
  <si>
    <t>Confirm Message with Ordering</t>
    <phoneticPr fontId="1" type="noConversion"/>
  </si>
  <si>
    <t>Pend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</si>
</sst>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0_);[Red]\(0.00\)"/>
    <numFmt numFmtId="177" formatCode="_-[$$-404]* #,##0.00_-;\-[$$-404]* #,##0.00_-;_-[$$-404]* &quot;-&quot;??_-;_-@_-"/>
  </numFmts>
  <fonts count="7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theme="1"/>
      <name val="微軟正黑體"/>
      <family val="2"/>
      <charset val="136"/>
    </font>
    <font>
      <sz val="10"/>
      <color theme="1"/>
      <name val="微軟正黑體"/>
      <family val="2"/>
      <charset val="136"/>
    </font>
    <font>
      <sz val="12"/>
      <color rgb="FF000000"/>
      <name val="微軟正黑體"/>
      <family val="2"/>
      <charset val="136"/>
    </font>
    <font>
      <sz val="9"/>
      <name val="新細明體"/>
      <family val="2"/>
      <charset val="136"/>
      <scheme val="minor"/>
    </font>
    <font>
      <b/>
      <sz val="12"/>
      <color theme="1"/>
      <name val="微軟正黑體"/>
      <family val="2"/>
      <charset val="136"/>
    </font>
  </fonts>
  <fills count="6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8">
    <xf numFmtId="0" fontId="0" fillId="0" borderId="0" xfId="0"/>
    <xf numFmtId="0" fontId="2" fillId="0" borderId="0" xfId="0" applyFont="1"/>
    <xf numFmtId="0" fontId="3" fillId="0" borderId="0" xfId="0" applyFont="1"/>
    <xf numFmtId="0" fontId="3" fillId="2" borderId="0" xfId="0" applyFont="1" applyFill="1"/>
    <xf numFmtId="0" fontId="3" fillId="0" borderId="0" xfId="0" applyFont="1" applyAlignment="1"/>
    <xf numFmtId="176" fontId="3" fillId="0" borderId="0" xfId="0" applyNumberFormat="1" applyFont="1"/>
    <xf numFmtId="0" fontId="3" fillId="2" borderId="0" xfId="0" applyFont="1" applyFill="1" applyAlignment="1">
      <alignment vertical="center"/>
    </xf>
    <xf numFmtId="176" fontId="3" fillId="2" borderId="0" xfId="0" applyNumberFormat="1" applyFont="1" applyFill="1" applyAlignment="1">
      <alignment vertical="center" wrapText="1"/>
    </xf>
    <xf numFmtId="0" fontId="3" fillId="0" borderId="0" xfId="0" applyFont="1" applyAlignment="1">
      <alignment vertical="center"/>
    </xf>
    <xf numFmtId="0" fontId="3" fillId="0" borderId="0" xfId="0" applyFont="1" applyAlignment="1">
      <alignment horizontal="right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177" fontId="3" fillId="2" borderId="0" xfId="0" applyNumberFormat="1" applyFont="1" applyFill="1" applyAlignment="1">
      <alignment vertical="center"/>
    </xf>
    <xf numFmtId="177" fontId="3" fillId="0" borderId="0" xfId="0" applyNumberFormat="1" applyFont="1"/>
    <xf numFmtId="0" fontId="3" fillId="3" borderId="0" xfId="0" applyFont="1" applyFill="1"/>
    <xf numFmtId="0" fontId="3" fillId="4" borderId="0" xfId="0" applyFont="1" applyFill="1"/>
    <xf numFmtId="0" fontId="3" fillId="0" borderId="0" xfId="0" applyFont="1" applyFill="1"/>
    <xf numFmtId="22" fontId="3" fillId="0" borderId="0" xfId="0" applyNumberFormat="1" applyFont="1"/>
    <xf numFmtId="0" fontId="2" fillId="0" borderId="0" xfId="0" applyFont="1" applyAlignment="1">
      <alignment horizontal="center"/>
    </xf>
    <xf numFmtId="0" fontId="3" fillId="2" borderId="2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177" fontId="3" fillId="0" borderId="1" xfId="0" applyNumberFormat="1" applyFont="1" applyBorder="1"/>
    <xf numFmtId="0" fontId="3" fillId="2" borderId="1" xfId="0" applyFont="1" applyFill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6" xfId="0" applyFont="1" applyBorder="1" applyAlignment="1">
      <alignment vertical="center"/>
    </xf>
    <xf numFmtId="0" fontId="2" fillId="0" borderId="0" xfId="0" applyFont="1" applyBorder="1" applyAlignment="1">
      <alignment vertical="center"/>
    </xf>
    <xf numFmtId="0" fontId="2" fillId="0" borderId="7" xfId="0" applyFont="1" applyBorder="1" applyAlignment="1">
      <alignment vertical="center"/>
    </xf>
    <xf numFmtId="0" fontId="3" fillId="0" borderId="6" xfId="0" applyFont="1" applyBorder="1" applyAlignment="1">
      <alignment horizontal="center" vertical="center"/>
    </xf>
    <xf numFmtId="22" fontId="3" fillId="0" borderId="0" xfId="0" applyNumberFormat="1" applyFont="1" applyBorder="1"/>
    <xf numFmtId="0" fontId="2" fillId="0" borderId="0" xfId="0" applyFont="1" applyBorder="1" applyAlignment="1">
      <alignment horizontal="center" vertical="center"/>
    </xf>
    <xf numFmtId="0" fontId="2" fillId="0" borderId="7" xfId="0" applyFont="1" applyBorder="1" applyAlignment="1">
      <alignment horizontal="center"/>
    </xf>
    <xf numFmtId="0" fontId="2" fillId="0" borderId="6" xfId="0" applyFont="1" applyBorder="1" applyAlignment="1">
      <alignment horizontal="center" vertical="center"/>
    </xf>
    <xf numFmtId="0" fontId="2" fillId="0" borderId="6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0" borderId="9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22" fontId="3" fillId="0" borderId="0" xfId="0" applyNumberFormat="1" applyFont="1" applyBorder="1" applyAlignment="1">
      <alignment horizontal="center" vertical="center"/>
    </xf>
    <xf numFmtId="0" fontId="2" fillId="0" borderId="0" xfId="0" pivotButton="1" applyFont="1"/>
    <xf numFmtId="0" fontId="2" fillId="0" borderId="0" xfId="0" applyFont="1" applyAlignment="1">
      <alignment horizontal="left"/>
    </xf>
    <xf numFmtId="0" fontId="2" fillId="0" borderId="0" xfId="0" applyNumberFormat="1" applyFont="1"/>
    <xf numFmtId="0" fontId="3" fillId="5" borderId="0" xfId="0" applyFont="1" applyFill="1"/>
    <xf numFmtId="0" fontId="6" fillId="0" borderId="3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6" fillId="0" borderId="0" xfId="0" applyFont="1" applyBorder="1" applyAlignment="1">
      <alignment horizontal="center" vertical="center"/>
    </xf>
  </cellXfs>
  <cellStyles count="1">
    <cellStyle name="一般" xfId="0" builtinId="0"/>
  </cellStyles>
  <dxfs count="6">
    <dxf>
      <font>
        <name val="微軟正黑體"/>
      </font>
    </dxf>
    <dxf>
      <font>
        <name val="微軟正黑體"/>
      </font>
    </dxf>
    <dxf>
      <font>
        <name val="微軟正黑體"/>
      </font>
    </dxf>
    <dxf>
      <font>
        <name val="微軟正黑體"/>
      </font>
    </dxf>
    <dxf>
      <font>
        <name val="微軟正黑體"/>
      </font>
    </dxf>
    <dxf>
      <font>
        <name val="微軟正黑體"/>
      </font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[POS.xlsm]Analysis!POS_Chart</c:name>
    <c:fmtId val="0"/>
  </c:pivotSource>
  <c:chart>
    <c:title>
      <c:layout/>
      <c:overlay val="0"/>
    </c:title>
    <c:autoTitleDeleted val="0"/>
    <c:pivotFmts>
      <c:pivotFmt>
        <c:idx val="0"/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Analysis!$B$1</c:f>
              <c:strCache>
                <c:ptCount val="1"/>
                <c:pt idx="0">
                  <c:v>合計</c:v>
                </c:pt>
              </c:strCache>
            </c:strRef>
          </c:tx>
          <c:invertIfNegative val="0"/>
          <c:cat>
            <c:strRef>
              <c:f>Analysis!$A$2:$A$14</c:f>
              <c:strCache>
                <c:ptCount val="12"/>
                <c:pt idx="0">
                  <c:v>Apple TV</c:v>
                </c:pt>
                <c:pt idx="1">
                  <c:v>Canon 6D</c:v>
                </c:pt>
                <c:pt idx="2">
                  <c:v>Cherry</c:v>
                </c:pt>
                <c:pt idx="3">
                  <c:v>DOXA Shark</c:v>
                </c:pt>
                <c:pt idx="4">
                  <c:v>Galaxy S8</c:v>
                </c:pt>
                <c:pt idx="5">
                  <c:v>Huawai P30</c:v>
                </c:pt>
                <c:pt idx="6">
                  <c:v>iPad</c:v>
                </c:pt>
                <c:pt idx="7">
                  <c:v>iPhone X</c:v>
                </c:pt>
                <c:pt idx="8">
                  <c:v>iPhone XS</c:v>
                </c:pt>
                <c:pt idx="9">
                  <c:v>Mango</c:v>
                </c:pt>
                <c:pt idx="10">
                  <c:v>Seiko MM</c:v>
                </c:pt>
                <c:pt idx="11">
                  <c:v>Sony A7</c:v>
                </c:pt>
              </c:strCache>
            </c:strRef>
          </c:cat>
          <c:val>
            <c:numRef>
              <c:f>Analysis!$B$2:$B$14</c:f>
              <c:numCache>
                <c:formatCode>General</c:formatCode>
                <c:ptCount val="12"/>
                <c:pt idx="0">
                  <c:v>28</c:v>
                </c:pt>
                <c:pt idx="1">
                  <c:v>12</c:v>
                </c:pt>
                <c:pt idx="2">
                  <c:v>16</c:v>
                </c:pt>
                <c:pt idx="3">
                  <c:v>20</c:v>
                </c:pt>
                <c:pt idx="4">
                  <c:v>64</c:v>
                </c:pt>
                <c:pt idx="5">
                  <c:v>28</c:v>
                </c:pt>
                <c:pt idx="6">
                  <c:v>9</c:v>
                </c:pt>
                <c:pt idx="7">
                  <c:v>59</c:v>
                </c:pt>
                <c:pt idx="8">
                  <c:v>23</c:v>
                </c:pt>
                <c:pt idx="9">
                  <c:v>10</c:v>
                </c:pt>
                <c:pt idx="10">
                  <c:v>49</c:v>
                </c:pt>
                <c:pt idx="11">
                  <c:v>15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04521584"/>
        <c:axId val="904521024"/>
      </c:barChart>
      <c:catAx>
        <c:axId val="9045215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904521024"/>
        <c:crosses val="autoZero"/>
        <c:auto val="1"/>
        <c:lblAlgn val="ctr"/>
        <c:lblOffset val="100"/>
        <c:noMultiLvlLbl val="0"/>
      </c:catAx>
      <c:valAx>
        <c:axId val="9045210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0452158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</xdr:row>
          <xdr:rowOff>0</xdr:rowOff>
        </xdr:from>
        <xdr:to>
          <xdr:col>7</xdr:col>
          <xdr:colOff>0</xdr:colOff>
          <xdr:row>2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微軟正黑體"/>
                  <a:ea typeface="微軟正黑體"/>
                </a:rPr>
                <a:t>Start User Form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482600</xdr:colOff>
      <xdr:row>0</xdr:row>
      <xdr:rowOff>0</xdr:rowOff>
    </xdr:from>
    <xdr:to>
      <xdr:col>18</xdr:col>
      <xdr:colOff>355600</xdr:colOff>
      <xdr:row>18</xdr:row>
      <xdr:rowOff>38100</xdr:rowOff>
    </xdr:to>
    <xdr:graphicFrame macro="">
      <xdr:nvGraphicFramePr>
        <xdr:cNvPr id="3" name="圖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3614.669662962966" createdVersion="5" refreshedVersion="5" minRefreshableVersion="3" recordCount="116">
  <cacheSource type="worksheet">
    <worksheetSource ref="A1:F1048576" sheet="Record"/>
  </cacheSource>
  <cacheFields count="6">
    <cacheField name="Ticket ID" numFmtId="0">
      <sharedItems containsString="0" containsBlank="1" containsNumber="1" containsInteger="1" minValue="1" maxValue="115"/>
    </cacheField>
    <cacheField name="Trade Time" numFmtId="0">
      <sharedItems containsNonDate="0" containsDate="1" containsString="0" containsBlank="1" minDate="2019-05-22T17:10:53" maxDate="2019-05-29T16:04:18"/>
    </cacheField>
    <cacheField name="Item ID" numFmtId="0">
      <sharedItems containsBlank="1"/>
    </cacheField>
    <cacheField name="Item" numFmtId="0">
      <sharedItems containsBlank="1" count="13">
        <s v="iPhone XS"/>
        <s v="iPhone X"/>
        <s v="Huawai P30"/>
        <s v="iPad"/>
        <s v="Sony A7"/>
        <s v="DOXA Shark"/>
        <s v="Galaxy S8"/>
        <s v="Seiko MM"/>
        <s v="Apple TV"/>
        <s v="Mango"/>
        <s v="Cherry"/>
        <s v="Canon 6D"/>
        <m/>
      </sharedItems>
    </cacheField>
    <cacheField name="Price" numFmtId="177">
      <sharedItems containsString="0" containsBlank="1" containsNumber="1" containsInteger="1" minValue="20" maxValue="14980"/>
    </cacheField>
    <cacheField name="Quantity" numFmtId="0">
      <sharedItems containsString="0" containsBlank="1" containsNumber="1" containsInteger="1" minValue="1" maxValue="2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16">
  <r>
    <n v="1"/>
    <d v="2019-05-22T17:10:53"/>
    <s v="M1"/>
    <x v="0"/>
    <n v="6500"/>
    <n v="1"/>
  </r>
  <r>
    <n v="2"/>
    <d v="2019-05-22T17:10:53"/>
    <s v="M2"/>
    <x v="1"/>
    <n v="6000"/>
    <n v="2"/>
  </r>
  <r>
    <n v="3"/>
    <d v="2019-05-22T17:10:53"/>
    <s v="M3"/>
    <x v="2"/>
    <n v="2099"/>
    <n v="3"/>
  </r>
  <r>
    <n v="4"/>
    <d v="2019-05-22T17:10:53"/>
    <s v="E2"/>
    <x v="3"/>
    <n v="6399"/>
    <n v="1"/>
  </r>
  <r>
    <n v="5"/>
    <d v="2019-05-22T17:10:53"/>
    <s v="C2"/>
    <x v="4"/>
    <n v="6890"/>
    <n v="3"/>
  </r>
  <r>
    <n v="6"/>
    <d v="2019-05-22T17:10:53"/>
    <s v="O2"/>
    <x v="5"/>
    <n v="5200"/>
    <n v="5"/>
  </r>
  <r>
    <n v="7"/>
    <d v="2019-05-22T17:12:16"/>
    <s v="M1"/>
    <x v="0"/>
    <n v="6500"/>
    <n v="1"/>
  </r>
  <r>
    <n v="8"/>
    <d v="2019-05-22T17:12:16"/>
    <s v="M3"/>
    <x v="6"/>
    <n v="2398"/>
    <n v="3"/>
  </r>
  <r>
    <n v="9"/>
    <d v="2019-05-22T17:12:16"/>
    <s v="O1"/>
    <x v="7"/>
    <n v="1800"/>
    <n v="4"/>
  </r>
  <r>
    <n v="10"/>
    <d v="2019-05-22T17:12:58"/>
    <s v="M1"/>
    <x v="0"/>
    <n v="6500"/>
    <n v="1"/>
  </r>
  <r>
    <n v="11"/>
    <d v="2019-05-22T17:12:58"/>
    <s v="M2"/>
    <x v="1"/>
    <n v="6000"/>
    <n v="2"/>
  </r>
  <r>
    <n v="12"/>
    <d v="2019-05-22T17:12:58"/>
    <s v="M3"/>
    <x v="2"/>
    <n v="2099"/>
    <n v="4"/>
  </r>
  <r>
    <n v="13"/>
    <d v="2019-05-22T17:12:58"/>
    <s v="E1"/>
    <x v="8"/>
    <n v="12999"/>
    <n v="5"/>
  </r>
  <r>
    <n v="14"/>
    <d v="2019-05-22T17:18:55"/>
    <s v="M1"/>
    <x v="0"/>
    <n v="6500"/>
    <n v="1"/>
  </r>
  <r>
    <n v="15"/>
    <d v="2019-05-22T17:18:55"/>
    <s v="M3"/>
    <x v="6"/>
    <n v="2398"/>
    <n v="3"/>
  </r>
  <r>
    <n v="16"/>
    <d v="2019-05-22T17:18:55"/>
    <s v="E2"/>
    <x v="3"/>
    <n v="6399"/>
    <n v="3"/>
  </r>
  <r>
    <n v="17"/>
    <d v="2019-05-22T17:18:55"/>
    <s v="O2"/>
    <x v="5"/>
    <n v="5200"/>
    <n v="7"/>
  </r>
  <r>
    <n v="18"/>
    <d v="2019-05-22T17:18:55"/>
    <s v="F2"/>
    <x v="9"/>
    <n v="20"/>
    <n v="2"/>
  </r>
  <r>
    <n v="19"/>
    <d v="2019-05-22T17:18:55"/>
    <s v="F3"/>
    <x v="10"/>
    <n v="40"/>
    <n v="2"/>
  </r>
  <r>
    <n v="20"/>
    <d v="2019-05-22T17:20:29"/>
    <s v="M2"/>
    <x v="1"/>
    <n v="6000"/>
    <n v="3"/>
  </r>
  <r>
    <n v="21"/>
    <d v="2019-05-22T17:20:29"/>
    <s v="M3"/>
    <x v="6"/>
    <n v="2398"/>
    <n v="2"/>
  </r>
  <r>
    <n v="22"/>
    <d v="2019-05-22T17:20:29"/>
    <s v="C1"/>
    <x v="11"/>
    <n v="14980"/>
    <n v="2"/>
  </r>
  <r>
    <n v="23"/>
    <d v="2019-05-22T17:20:29"/>
    <s v="F2"/>
    <x v="9"/>
    <n v="20"/>
    <n v="1"/>
  </r>
  <r>
    <n v="24"/>
    <d v="2019-05-22T17:22:12"/>
    <s v="M1"/>
    <x v="0"/>
    <n v="6500"/>
    <n v="4"/>
  </r>
  <r>
    <n v="25"/>
    <d v="2019-05-22T17:22:12"/>
    <s v="C1"/>
    <x v="11"/>
    <n v="14980"/>
    <n v="2"/>
  </r>
  <r>
    <n v="26"/>
    <d v="2019-05-22T17:22:12"/>
    <s v="F3"/>
    <x v="10"/>
    <n v="40"/>
    <n v="10"/>
  </r>
  <r>
    <n v="27"/>
    <d v="2019-05-22T17:52:46"/>
    <s v="M1"/>
    <x v="0"/>
    <n v="6500"/>
    <n v="1"/>
  </r>
  <r>
    <n v="28"/>
    <d v="2019-05-22T17:52:46"/>
    <s v="M2"/>
    <x v="1"/>
    <n v="6000"/>
    <n v="2"/>
  </r>
  <r>
    <n v="29"/>
    <d v="2019-05-22T17:52:46"/>
    <s v="M3"/>
    <x v="6"/>
    <n v="2398"/>
    <n v="3"/>
  </r>
  <r>
    <n v="30"/>
    <d v="2019-05-22T17:52:46"/>
    <s v="M3"/>
    <x v="2"/>
    <n v="2099"/>
    <n v="4"/>
  </r>
  <r>
    <n v="31"/>
    <d v="2019-05-22T17:52:46"/>
    <s v="E1"/>
    <x v="8"/>
    <n v="12999"/>
    <n v="5"/>
  </r>
  <r>
    <n v="32"/>
    <d v="2019-05-22T18:07:12"/>
    <s v="M1"/>
    <x v="0"/>
    <n v="6500"/>
    <n v="1"/>
  </r>
  <r>
    <n v="33"/>
    <d v="2019-05-22T18:07:12"/>
    <s v="M2"/>
    <x v="1"/>
    <n v="6000"/>
    <n v="2"/>
  </r>
  <r>
    <n v="34"/>
    <d v="2019-05-22T18:07:12"/>
    <s v="M3"/>
    <x v="6"/>
    <n v="2398"/>
    <n v="3"/>
  </r>
  <r>
    <n v="35"/>
    <d v="2019-05-23T11:08:43"/>
    <s v="M1"/>
    <x v="0"/>
    <n v="6500"/>
    <n v="1"/>
  </r>
  <r>
    <n v="36"/>
    <d v="2019-05-23T11:08:43"/>
    <s v="M2"/>
    <x v="1"/>
    <n v="6000"/>
    <n v="2"/>
  </r>
  <r>
    <n v="37"/>
    <d v="2019-05-23T11:08:43"/>
    <s v="M3"/>
    <x v="6"/>
    <n v="2398"/>
    <n v="3"/>
  </r>
  <r>
    <n v="38"/>
    <d v="2019-05-23T11:08:43"/>
    <s v="M3"/>
    <x v="2"/>
    <n v="2099"/>
    <n v="4"/>
  </r>
  <r>
    <n v="39"/>
    <d v="2019-05-23T11:08:43"/>
    <s v="E1"/>
    <x v="8"/>
    <n v="12999"/>
    <n v="5"/>
  </r>
  <r>
    <n v="40"/>
    <d v="2019-05-23T16:39:27"/>
    <s v="M1"/>
    <x v="0"/>
    <n v="6500"/>
    <n v="1"/>
  </r>
  <r>
    <n v="41"/>
    <d v="2019-05-23T16:39:27"/>
    <s v="M2"/>
    <x v="1"/>
    <n v="6000"/>
    <n v="2"/>
  </r>
  <r>
    <n v="42"/>
    <d v="2019-05-23T16:39:27"/>
    <s v="M3"/>
    <x v="6"/>
    <n v="2398"/>
    <n v="3"/>
  </r>
  <r>
    <n v="43"/>
    <d v="2019-05-23T16:39:27"/>
    <s v="M3"/>
    <x v="2"/>
    <n v="2099"/>
    <n v="4"/>
  </r>
  <r>
    <n v="44"/>
    <d v="2019-05-23T16:39:27"/>
    <s v="E1"/>
    <x v="8"/>
    <n v="12999"/>
    <n v="5"/>
  </r>
  <r>
    <n v="45"/>
    <d v="2019-05-23T16:39:27"/>
    <s v="C1"/>
    <x v="11"/>
    <n v="14980"/>
    <n v="2"/>
  </r>
  <r>
    <n v="46"/>
    <d v="2019-05-23T16:39:27"/>
    <s v="C2"/>
    <x v="4"/>
    <n v="6890"/>
    <n v="3"/>
  </r>
  <r>
    <n v="47"/>
    <d v="2019-05-23T16:39:27"/>
    <s v="O1"/>
    <x v="7"/>
    <n v="1800"/>
    <n v="4"/>
  </r>
  <r>
    <n v="48"/>
    <d v="2019-05-23T16:39:27"/>
    <s v="O1"/>
    <x v="7"/>
    <n v="1800"/>
    <n v="11"/>
  </r>
  <r>
    <n v="49"/>
    <d v="2019-05-23T16:39:54"/>
    <s v="O1"/>
    <x v="7"/>
    <n v="1800"/>
    <n v="20"/>
  </r>
  <r>
    <n v="50"/>
    <d v="2019-05-28T18:07:25"/>
    <s v="M1"/>
    <x v="0"/>
    <n v="6500"/>
    <n v="1"/>
  </r>
  <r>
    <n v="51"/>
    <d v="2019-05-28T18:07:25"/>
    <s v="M2"/>
    <x v="1"/>
    <n v="6000"/>
    <n v="7"/>
  </r>
  <r>
    <n v="52"/>
    <d v="2019-05-28T18:07:25"/>
    <s v="M3"/>
    <x v="6"/>
    <n v="2398"/>
    <n v="3"/>
  </r>
  <r>
    <n v="53"/>
    <d v="2019-05-28T18:07:25"/>
    <s v="O1"/>
    <x v="7"/>
    <n v="1800"/>
    <n v="2"/>
  </r>
  <r>
    <n v="54"/>
    <d v="2019-05-28T18:07:25"/>
    <s v="C1"/>
    <x v="11"/>
    <n v="14980"/>
    <n v="3"/>
  </r>
  <r>
    <n v="55"/>
    <d v="2019-05-28T18:09:32"/>
    <s v="M2"/>
    <x v="1"/>
    <n v="6000"/>
    <n v="5"/>
  </r>
  <r>
    <n v="56"/>
    <d v="2019-05-28T18:09:32"/>
    <s v="M3"/>
    <x v="6"/>
    <n v="2398"/>
    <n v="2"/>
  </r>
  <r>
    <n v="57"/>
    <d v="2019-05-28T18:09:32"/>
    <s v="F2"/>
    <x v="9"/>
    <n v="20"/>
    <n v="3"/>
  </r>
  <r>
    <n v="58"/>
    <d v="2019-05-28T18:09:32"/>
    <s v="C1"/>
    <x v="11"/>
    <n v="14980"/>
    <n v="1"/>
  </r>
  <r>
    <n v="59"/>
    <d v="2019-05-28T18:09:32"/>
    <s v="C2"/>
    <x v="4"/>
    <n v="6890"/>
    <n v="3"/>
  </r>
  <r>
    <n v="60"/>
    <d v="2019-05-29T11:43:49"/>
    <s v="F2"/>
    <x v="9"/>
    <n v="20"/>
    <n v="2"/>
  </r>
  <r>
    <n v="61"/>
    <d v="2019-05-29T11:43:49"/>
    <s v="O2"/>
    <x v="5"/>
    <n v="5200"/>
    <n v="2"/>
  </r>
  <r>
    <n v="62"/>
    <d v="2019-05-29T11:43:49"/>
    <s v="F3"/>
    <x v="10"/>
    <n v="40"/>
    <n v="4"/>
  </r>
  <r>
    <n v="63"/>
    <d v="2019-05-29T12:57:06"/>
    <s v="M1"/>
    <x v="0"/>
    <n v="6500"/>
    <n v="1"/>
  </r>
  <r>
    <n v="64"/>
    <d v="2019-05-29T12:57:06"/>
    <s v="M2"/>
    <x v="1"/>
    <n v="6000"/>
    <n v="2"/>
  </r>
  <r>
    <n v="65"/>
    <d v="2019-05-29T12:57:06"/>
    <s v="M3"/>
    <x v="6"/>
    <n v="2398"/>
    <n v="3"/>
  </r>
  <r>
    <n v="66"/>
    <d v="2019-05-29T14:30:36"/>
    <s v="M1"/>
    <x v="0"/>
    <n v="6500"/>
    <n v="1"/>
  </r>
  <r>
    <n v="67"/>
    <d v="2019-05-29T14:30:36"/>
    <s v="M2"/>
    <x v="1"/>
    <n v="6000"/>
    <n v="2"/>
  </r>
  <r>
    <n v="68"/>
    <d v="2019-05-29T14:30:36"/>
    <s v="M3"/>
    <x v="6"/>
    <n v="2398"/>
    <n v="3"/>
  </r>
  <r>
    <n v="69"/>
    <d v="2019-05-29T14:30:36"/>
    <s v="M3"/>
    <x v="2"/>
    <n v="2099"/>
    <n v="4"/>
  </r>
  <r>
    <n v="70"/>
    <d v="2019-05-29T14:30:36"/>
    <s v="E1"/>
    <x v="8"/>
    <n v="12999"/>
    <n v="5"/>
  </r>
  <r>
    <n v="71"/>
    <d v="2019-05-29T14:30:36"/>
    <s v="E2"/>
    <x v="3"/>
    <n v="6399"/>
    <n v="1"/>
  </r>
  <r>
    <n v="72"/>
    <d v="2019-05-29T14:30:36"/>
    <s v="C1"/>
    <x v="11"/>
    <n v="14980"/>
    <n v="2"/>
  </r>
  <r>
    <n v="73"/>
    <d v="2019-05-29T14:30:36"/>
    <s v="C2"/>
    <x v="4"/>
    <n v="6890"/>
    <n v="3"/>
  </r>
  <r>
    <n v="74"/>
    <d v="2019-05-29T14:30:36"/>
    <s v="O1"/>
    <x v="7"/>
    <n v="1800"/>
    <n v="4"/>
  </r>
  <r>
    <n v="75"/>
    <d v="2019-05-29T14:30:36"/>
    <s v="O2"/>
    <x v="5"/>
    <n v="5200"/>
    <n v="5"/>
  </r>
  <r>
    <n v="76"/>
    <d v="2019-05-29T14:31:28"/>
    <s v="M1"/>
    <x v="0"/>
    <n v="6500"/>
    <n v="3"/>
  </r>
  <r>
    <n v="77"/>
    <d v="2019-05-29T14:31:28"/>
    <s v="M3"/>
    <x v="2"/>
    <n v="2099"/>
    <n v="3"/>
  </r>
  <r>
    <n v="78"/>
    <d v="2019-05-29T14:33:22"/>
    <s v="M2"/>
    <x v="1"/>
    <n v="6000"/>
    <n v="5"/>
  </r>
  <r>
    <n v="79"/>
    <d v="2019-05-29T14:33:22"/>
    <s v="M3"/>
    <x v="6"/>
    <n v="2398"/>
    <n v="4"/>
  </r>
  <r>
    <n v="80"/>
    <d v="2019-05-29T14:36:48"/>
    <s v="M2"/>
    <x v="1"/>
    <n v="6000"/>
    <n v="5"/>
  </r>
  <r>
    <n v="81"/>
    <d v="2019-05-29T14:36:48"/>
    <s v="M3"/>
    <x v="6"/>
    <n v="2398"/>
    <n v="2"/>
  </r>
  <r>
    <n v="82"/>
    <d v="2019-05-29T14:37:44"/>
    <s v="M2"/>
    <x v="1"/>
    <n v="6000"/>
    <n v="5"/>
  </r>
  <r>
    <n v="83"/>
    <d v="2019-05-29T14:39:15"/>
    <s v="M2"/>
    <x v="1"/>
    <n v="6000"/>
    <n v="3"/>
  </r>
  <r>
    <n v="84"/>
    <d v="2019-05-29T14:39:15"/>
    <s v="M3"/>
    <x v="6"/>
    <n v="2398"/>
    <n v="3"/>
  </r>
  <r>
    <n v="85"/>
    <d v="2019-05-29T14:39:35"/>
    <s v="M2"/>
    <x v="1"/>
    <n v="6000"/>
    <n v="3"/>
  </r>
  <r>
    <n v="86"/>
    <d v="2019-05-29T14:39:35"/>
    <s v="M3"/>
    <x v="6"/>
    <n v="2398"/>
    <n v="3"/>
  </r>
  <r>
    <n v="87"/>
    <d v="2019-05-29T14:46:15"/>
    <s v="M1"/>
    <x v="0"/>
    <n v="6500"/>
    <n v="1"/>
  </r>
  <r>
    <n v="88"/>
    <d v="2019-05-29T14:46:15"/>
    <s v="M2"/>
    <x v="1"/>
    <n v="6000"/>
    <n v="4"/>
  </r>
  <r>
    <n v="89"/>
    <d v="2019-05-29T14:46:15"/>
    <s v="M3"/>
    <x v="6"/>
    <n v="2398"/>
    <n v="4"/>
  </r>
  <r>
    <n v="90"/>
    <d v="2019-05-29T14:47:12"/>
    <s v="M1"/>
    <x v="0"/>
    <n v="6500"/>
    <n v="4"/>
  </r>
  <r>
    <n v="91"/>
    <d v="2019-05-29T14:47:55"/>
    <s v="M3"/>
    <x v="6"/>
    <n v="2398"/>
    <n v="1"/>
  </r>
  <r>
    <n v="92"/>
    <d v="2019-05-29T14:49:22"/>
    <s v="M2"/>
    <x v="1"/>
    <n v="6000"/>
    <n v="1"/>
  </r>
  <r>
    <n v="93"/>
    <d v="2019-05-29T15:31:38"/>
    <s v="E1"/>
    <x v="8"/>
    <n v="12999"/>
    <n v="3"/>
  </r>
  <r>
    <n v="94"/>
    <d v="2019-05-29T15:31:38"/>
    <s v="F2"/>
    <x v="9"/>
    <n v="20"/>
    <n v="2"/>
  </r>
  <r>
    <n v="95"/>
    <d v="2019-05-29T15:31:38"/>
    <s v="C2"/>
    <x v="4"/>
    <n v="6890"/>
    <n v="1"/>
  </r>
  <r>
    <n v="96"/>
    <d v="2019-05-29T15:44:34"/>
    <s v="M3"/>
    <x v="6"/>
    <n v="2398"/>
    <n v="1"/>
  </r>
  <r>
    <n v="97"/>
    <d v="2019-05-29T15:45:02"/>
    <s v="M3"/>
    <x v="6"/>
    <n v="2398"/>
    <n v="1"/>
  </r>
  <r>
    <n v="98"/>
    <d v="2019-05-29T15:45:08"/>
    <s v="M3"/>
    <x v="6"/>
    <n v="2398"/>
    <n v="1"/>
  </r>
  <r>
    <n v="99"/>
    <d v="2019-05-29T15:46:23"/>
    <s v="M3"/>
    <x v="6"/>
    <n v="2398"/>
    <n v="2"/>
  </r>
  <r>
    <n v="100"/>
    <d v="2019-05-29T15:47:10"/>
    <s v="M3"/>
    <x v="6"/>
    <n v="2398"/>
    <n v="2"/>
  </r>
  <r>
    <n v="101"/>
    <d v="2019-05-29T15:48:57"/>
    <s v="M3"/>
    <x v="6"/>
    <n v="2398"/>
    <n v="1"/>
  </r>
  <r>
    <n v="102"/>
    <d v="2019-05-29T15:49:33"/>
    <s v="M3"/>
    <x v="6"/>
    <n v="2398"/>
    <n v="1"/>
  </r>
  <r>
    <n v="103"/>
    <d v="2019-05-29T15:50:25"/>
    <s v="M3"/>
    <x v="6"/>
    <n v="2398"/>
    <n v="1"/>
  </r>
  <r>
    <n v="104"/>
    <d v="2019-05-29T15:50:33"/>
    <s v="M3"/>
    <x v="6"/>
    <n v="2398"/>
    <n v="1"/>
  </r>
  <r>
    <n v="105"/>
    <d v="2019-05-29T15:51:08"/>
    <s v="M3"/>
    <x v="6"/>
    <n v="2398"/>
    <n v="1"/>
  </r>
  <r>
    <n v="106"/>
    <d v="2019-05-29T15:51:16"/>
    <s v="M3"/>
    <x v="6"/>
    <n v="2398"/>
    <n v="1"/>
  </r>
  <r>
    <n v="107"/>
    <d v="2019-05-29T15:52:22"/>
    <s v="M3"/>
    <x v="6"/>
    <n v="2398"/>
    <n v="1"/>
  </r>
  <r>
    <n v="108"/>
    <d v="2019-05-29T15:52:44"/>
    <s v="M3"/>
    <x v="2"/>
    <n v="2099"/>
    <n v="2"/>
  </r>
  <r>
    <n v="109"/>
    <d v="2019-05-29T15:52:44"/>
    <s v="M2"/>
    <x v="1"/>
    <n v="6000"/>
    <n v="2"/>
  </r>
  <r>
    <n v="110"/>
    <d v="2019-05-29T15:56:51"/>
    <s v="M3"/>
    <x v="6"/>
    <n v="2398"/>
    <n v="1"/>
  </r>
  <r>
    <n v="111"/>
    <d v="2019-05-29T16:03:42"/>
    <s v="M3"/>
    <x v="6"/>
    <n v="2398"/>
    <n v="1"/>
  </r>
  <r>
    <n v="112"/>
    <d v="2019-05-29T16:04:18"/>
    <s v="O2"/>
    <x v="5"/>
    <n v="5200"/>
    <n v="1"/>
  </r>
  <r>
    <n v="113"/>
    <d v="2019-05-29T16:04:18"/>
    <s v="E2"/>
    <x v="3"/>
    <n v="6399"/>
    <n v="4"/>
  </r>
  <r>
    <n v="114"/>
    <d v="2019-05-29T16:04:18"/>
    <s v="O1"/>
    <x v="7"/>
    <n v="1800"/>
    <n v="4"/>
  </r>
  <r>
    <n v="115"/>
    <d v="2019-05-29T16:04:18"/>
    <s v="C2"/>
    <x v="4"/>
    <n v="6890"/>
    <n v="2"/>
  </r>
  <r>
    <m/>
    <m/>
    <m/>
    <x v="12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OS_Chart" cacheId="6" applyNumberFormats="0" applyBorderFormats="0" applyFontFormats="0" applyPatternFormats="0" applyAlignmentFormats="0" applyWidthHeightFormats="1" dataCaption="數值" updatedVersion="5" minRefreshableVersion="3" useAutoFormatting="1" itemPrintTitles="1" createdVersion="5" indent="0" outline="1" outlineData="1" multipleFieldFilters="0" chartFormat="1">
  <location ref="A1:B14" firstHeaderRow="1" firstDataRow="1" firstDataCol="1"/>
  <pivotFields count="6">
    <pivotField showAll="0"/>
    <pivotField showAll="0"/>
    <pivotField showAll="0"/>
    <pivotField axis="axisRow" showAll="0">
      <items count="14">
        <item x="8"/>
        <item x="11"/>
        <item x="10"/>
        <item x="5"/>
        <item x="6"/>
        <item x="2"/>
        <item x="3"/>
        <item x="1"/>
        <item x="0"/>
        <item x="9"/>
        <item x="7"/>
        <item x="4"/>
        <item h="1" x="12"/>
        <item t="default"/>
      </items>
    </pivotField>
    <pivotField showAll="0"/>
    <pivotField dataField="1" showAll="0"/>
  </pivotFields>
  <rowFields count="1">
    <field x="3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dataFields count="1">
    <dataField name="Total - Quantity" fld="5" baseField="0" baseItem="0"/>
  </dataFields>
  <formats count="6">
    <format dxfId="5">
      <pivotArea type="all" dataOnly="0" outline="0" fieldPosition="0"/>
    </format>
    <format dxfId="4">
      <pivotArea outline="0" collapsedLevelsAreSubtotals="1" fieldPosition="0"/>
    </format>
    <format dxfId="3">
      <pivotArea field="3" type="button" dataOnly="0" labelOnly="1" outline="0" axis="axisRow" fieldPosition="0"/>
    </format>
    <format dxfId="2">
      <pivotArea dataOnly="0" labelOnly="1" outline="0" axis="axisValues" fieldPosition="0"/>
    </format>
    <format dxfId="1">
      <pivotArea dataOnly="0" labelOnly="1" fieldPosition="0">
        <references count="1">
          <reference field="3" count="0"/>
        </references>
      </pivotArea>
    </format>
    <format dxfId="0">
      <pivotArea dataOnly="0" labelOnly="1" grandRow="1" outline="0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G18"/>
  <sheetViews>
    <sheetView tabSelected="1" workbookViewId="0">
      <selection activeCell="M12" sqref="M12"/>
    </sheetView>
  </sheetViews>
  <sheetFormatPr defaultRowHeight="13.5" x14ac:dyDescent="0.25"/>
  <cols>
    <col min="1" max="1" width="9" style="2"/>
    <col min="2" max="2" width="9.375" style="2" bestFit="1" customWidth="1"/>
    <col min="3" max="3" width="5.75" style="2" bestFit="1" customWidth="1"/>
    <col min="4" max="4" width="7.25" style="2" bestFit="1" customWidth="1"/>
    <col min="5" max="16384" width="9" style="2"/>
  </cols>
  <sheetData>
    <row r="1" spans="1:7" x14ac:dyDescent="0.25">
      <c r="A1" s="3" t="s">
        <v>3</v>
      </c>
      <c r="B1" s="3" t="s">
        <v>9</v>
      </c>
      <c r="C1" s="3" t="s">
        <v>10</v>
      </c>
      <c r="D1" s="3" t="s">
        <v>11</v>
      </c>
    </row>
    <row r="4" spans="1:7" x14ac:dyDescent="0.25">
      <c r="G4" s="8"/>
    </row>
    <row r="10" spans="1:7" x14ac:dyDescent="0.25">
      <c r="G10" s="9"/>
    </row>
    <row r="14" spans="1:7" x14ac:dyDescent="0.25">
      <c r="E14" s="11"/>
    </row>
    <row r="18" spans="6:7" ht="15.75" x14ac:dyDescent="0.25">
      <c r="F18" s="10"/>
      <c r="G18" s="1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in.main">
                <anchor moveWithCells="1" sizeWithCells="1">
                  <from>
                    <xdr:col>5</xdr:col>
                    <xdr:colOff>0</xdr:colOff>
                    <xdr:row>1</xdr:row>
                    <xdr:rowOff>0</xdr:rowOff>
                  </from>
                  <to>
                    <xdr:col>7</xdr:col>
                    <xdr:colOff>0</xdr:colOff>
                    <xdr:row>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F14"/>
  <sheetViews>
    <sheetView workbookViewId="0">
      <pane ySplit="1" topLeftCell="A2" activePane="bottomLeft" state="frozen"/>
      <selection pane="bottomLeft" activeCell="G35" sqref="G35"/>
    </sheetView>
  </sheetViews>
  <sheetFormatPr defaultRowHeight="13.5" x14ac:dyDescent="0.25"/>
  <cols>
    <col min="1" max="1" width="3.25" style="2" bestFit="1" customWidth="1"/>
    <col min="2" max="2" width="16.875" style="2" bestFit="1" customWidth="1"/>
    <col min="3" max="3" width="11" style="2" bestFit="1" customWidth="1"/>
    <col min="4" max="4" width="21.75" style="2" bestFit="1" customWidth="1"/>
    <col min="5" max="5" width="11.875" style="13" bestFit="1" customWidth="1"/>
    <col min="6" max="6" width="10.125" style="5" bestFit="1" customWidth="1"/>
    <col min="7" max="16384" width="9" style="2"/>
  </cols>
  <sheetData>
    <row r="1" spans="1:6" s="8" customFormat="1" ht="27" x14ac:dyDescent="0.25">
      <c r="A1" s="6" t="s">
        <v>6</v>
      </c>
      <c r="B1" s="6" t="s">
        <v>3</v>
      </c>
      <c r="C1" s="6" t="s">
        <v>0</v>
      </c>
      <c r="D1" s="6" t="s">
        <v>1</v>
      </c>
      <c r="E1" s="12" t="s">
        <v>2</v>
      </c>
      <c r="F1" s="7" t="s">
        <v>20</v>
      </c>
    </row>
    <row r="2" spans="1:6" x14ac:dyDescent="0.25">
      <c r="A2" s="2" t="s">
        <v>28</v>
      </c>
      <c r="B2" s="2" t="s">
        <v>13</v>
      </c>
      <c r="C2" s="2" t="s">
        <v>12</v>
      </c>
      <c r="E2" s="13">
        <v>6500</v>
      </c>
      <c r="F2" s="5">
        <v>75</v>
      </c>
    </row>
    <row r="3" spans="1:6" x14ac:dyDescent="0.25">
      <c r="A3" s="2" t="s">
        <v>29</v>
      </c>
      <c r="B3" s="2" t="s">
        <v>13</v>
      </c>
      <c r="C3" s="2" t="s">
        <v>63</v>
      </c>
      <c r="E3" s="13">
        <v>6000</v>
      </c>
      <c r="F3" s="5">
        <v>37</v>
      </c>
    </row>
    <row r="4" spans="1:6" x14ac:dyDescent="0.25">
      <c r="A4" s="2" t="s">
        <v>30</v>
      </c>
      <c r="B4" s="2" t="s">
        <v>13</v>
      </c>
      <c r="C4" s="2" t="s">
        <v>56</v>
      </c>
      <c r="E4" s="13">
        <v>2398</v>
      </c>
      <c r="F4" s="5">
        <v>33</v>
      </c>
    </row>
    <row r="5" spans="1:6" x14ac:dyDescent="0.25">
      <c r="A5" s="2" t="s">
        <v>30</v>
      </c>
      <c r="B5" s="2" t="s">
        <v>13</v>
      </c>
      <c r="C5" s="2" t="s">
        <v>70</v>
      </c>
      <c r="E5" s="13">
        <v>2099</v>
      </c>
      <c r="F5" s="5">
        <v>68</v>
      </c>
    </row>
    <row r="6" spans="1:6" x14ac:dyDescent="0.25">
      <c r="A6" s="2" t="s">
        <v>31</v>
      </c>
      <c r="B6" s="4" t="s">
        <v>18</v>
      </c>
      <c r="C6" s="2" t="s">
        <v>17</v>
      </c>
      <c r="E6" s="13">
        <v>12999</v>
      </c>
      <c r="F6" s="5">
        <v>67</v>
      </c>
    </row>
    <row r="7" spans="1:6" x14ac:dyDescent="0.25">
      <c r="A7" s="2" t="s">
        <v>32</v>
      </c>
      <c r="B7" s="4" t="s">
        <v>18</v>
      </c>
      <c r="C7" s="2" t="s">
        <v>19</v>
      </c>
      <c r="E7" s="13">
        <v>6399</v>
      </c>
      <c r="F7" s="5">
        <v>90</v>
      </c>
    </row>
    <row r="8" spans="1:6" x14ac:dyDescent="0.25">
      <c r="A8" s="2" t="s">
        <v>54</v>
      </c>
      <c r="B8" s="2" t="s">
        <v>57</v>
      </c>
      <c r="C8" s="2" t="s">
        <v>60</v>
      </c>
      <c r="E8" s="13">
        <v>14980</v>
      </c>
      <c r="F8" s="5">
        <v>86</v>
      </c>
    </row>
    <row r="9" spans="1:6" x14ac:dyDescent="0.25">
      <c r="A9" s="2" t="s">
        <v>58</v>
      </c>
      <c r="B9" s="2" t="s">
        <v>57</v>
      </c>
      <c r="C9" s="2" t="s">
        <v>61</v>
      </c>
      <c r="E9" s="13">
        <v>6890</v>
      </c>
      <c r="F9" s="5">
        <v>85</v>
      </c>
    </row>
    <row r="10" spans="1:6" x14ac:dyDescent="0.25">
      <c r="A10" s="2" t="s">
        <v>64</v>
      </c>
      <c r="B10" s="2" t="s">
        <v>67</v>
      </c>
      <c r="C10" s="2" t="s">
        <v>66</v>
      </c>
      <c r="E10" s="13">
        <v>1800</v>
      </c>
      <c r="F10" s="5">
        <v>55</v>
      </c>
    </row>
    <row r="11" spans="1:6" x14ac:dyDescent="0.25">
      <c r="A11" s="2" t="s">
        <v>65</v>
      </c>
      <c r="B11" s="2" t="s">
        <v>67</v>
      </c>
      <c r="C11" s="2" t="s">
        <v>68</v>
      </c>
      <c r="E11" s="13">
        <v>5200</v>
      </c>
      <c r="F11" s="5">
        <v>80</v>
      </c>
    </row>
    <row r="12" spans="1:6" x14ac:dyDescent="0.25">
      <c r="A12" s="2" t="s">
        <v>73</v>
      </c>
      <c r="B12" s="2" t="s">
        <v>72</v>
      </c>
      <c r="C12" s="2" t="s">
        <v>77</v>
      </c>
      <c r="E12" s="13">
        <v>10</v>
      </c>
      <c r="F12" s="5">
        <v>99</v>
      </c>
    </row>
    <row r="13" spans="1:6" x14ac:dyDescent="0.25">
      <c r="A13" s="2" t="s">
        <v>75</v>
      </c>
      <c r="B13" s="2" t="s">
        <v>72</v>
      </c>
      <c r="C13" s="2" t="s">
        <v>79</v>
      </c>
      <c r="E13" s="13">
        <v>20</v>
      </c>
      <c r="F13" s="5">
        <v>87</v>
      </c>
    </row>
    <row r="14" spans="1:6" x14ac:dyDescent="0.25">
      <c r="A14" s="2" t="s">
        <v>76</v>
      </c>
      <c r="B14" s="2" t="s">
        <v>72</v>
      </c>
      <c r="C14" s="2" t="s">
        <v>80</v>
      </c>
      <c r="E14" s="13">
        <v>40</v>
      </c>
      <c r="F14" s="5">
        <v>84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F116"/>
  <sheetViews>
    <sheetView workbookViewId="0">
      <pane ySplit="1" topLeftCell="A98" activePane="bottomLeft" state="frozen"/>
      <selection pane="bottomLeft" activeCell="K101" sqref="K101"/>
    </sheetView>
  </sheetViews>
  <sheetFormatPr defaultRowHeight="13.5" x14ac:dyDescent="0.25"/>
  <cols>
    <col min="1" max="1" width="9" style="2"/>
    <col min="2" max="2" width="15" style="2" bestFit="1" customWidth="1"/>
    <col min="3" max="3" width="10.5" style="2" customWidth="1"/>
    <col min="4" max="4" width="11.875" style="2" bestFit="1" customWidth="1"/>
    <col min="5" max="5" width="11.875" style="13" bestFit="1" customWidth="1"/>
    <col min="6" max="16384" width="9" style="2"/>
  </cols>
  <sheetData>
    <row r="1" spans="1:6" x14ac:dyDescent="0.25">
      <c r="A1" s="3" t="s">
        <v>4</v>
      </c>
      <c r="B1" s="3" t="s">
        <v>5</v>
      </c>
      <c r="C1" s="3" t="s">
        <v>7</v>
      </c>
      <c r="D1" s="3" t="s">
        <v>0</v>
      </c>
      <c r="E1" s="3" t="s">
        <v>51</v>
      </c>
      <c r="F1" s="3" t="s">
        <v>8</v>
      </c>
    </row>
    <row r="2" spans="1:6" x14ac:dyDescent="0.25">
      <c r="A2" s="2">
        <v>1</v>
      </c>
      <c r="B2" s="17">
        <v>43607.715891203705</v>
      </c>
      <c r="C2" s="2" t="s">
        <v>39</v>
      </c>
      <c r="D2" s="2" t="s">
        <v>40</v>
      </c>
      <c r="E2" s="13">
        <v>6500</v>
      </c>
      <c r="F2" s="2">
        <v>1</v>
      </c>
    </row>
    <row r="3" spans="1:6" x14ac:dyDescent="0.25">
      <c r="A3" s="2">
        <v>2</v>
      </c>
      <c r="B3" s="17">
        <v>43607.715891203705</v>
      </c>
      <c r="C3" s="2" t="s">
        <v>38</v>
      </c>
      <c r="D3" s="2" t="s">
        <v>62</v>
      </c>
      <c r="E3" s="13">
        <v>6000</v>
      </c>
      <c r="F3" s="2">
        <v>2</v>
      </c>
    </row>
    <row r="4" spans="1:6" x14ac:dyDescent="0.25">
      <c r="A4" s="2">
        <v>3</v>
      </c>
      <c r="B4" s="17">
        <v>43607.715891203705</v>
      </c>
      <c r="C4" s="2" t="s">
        <v>37</v>
      </c>
      <c r="D4" s="2" t="s">
        <v>69</v>
      </c>
      <c r="E4" s="13">
        <v>2099</v>
      </c>
      <c r="F4" s="2">
        <v>3</v>
      </c>
    </row>
    <row r="5" spans="1:6" x14ac:dyDescent="0.25">
      <c r="A5" s="2">
        <v>4</v>
      </c>
      <c r="B5" s="17">
        <v>43607.715891203705</v>
      </c>
      <c r="C5" s="2" t="s">
        <v>35</v>
      </c>
      <c r="D5" s="2" t="s">
        <v>36</v>
      </c>
      <c r="E5" s="13">
        <v>6399</v>
      </c>
      <c r="F5" s="2">
        <v>1</v>
      </c>
    </row>
    <row r="6" spans="1:6" x14ac:dyDescent="0.25">
      <c r="A6" s="2">
        <v>5</v>
      </c>
      <c r="B6" s="17">
        <v>43607.715891203705</v>
      </c>
      <c r="C6" s="2" t="s">
        <v>83</v>
      </c>
      <c r="D6" s="2" t="s">
        <v>84</v>
      </c>
      <c r="E6" s="13">
        <v>6890</v>
      </c>
      <c r="F6" s="2">
        <v>3</v>
      </c>
    </row>
    <row r="7" spans="1:6" x14ac:dyDescent="0.25">
      <c r="A7" s="2">
        <v>6</v>
      </c>
      <c r="B7" s="17">
        <v>43607.715891203705</v>
      </c>
      <c r="C7" s="2" t="s">
        <v>85</v>
      </c>
      <c r="D7" s="2" t="s">
        <v>86</v>
      </c>
      <c r="E7" s="13">
        <v>5200</v>
      </c>
      <c r="F7" s="2">
        <v>5</v>
      </c>
    </row>
    <row r="8" spans="1:6" x14ac:dyDescent="0.25">
      <c r="A8" s="2">
        <v>7</v>
      </c>
      <c r="B8" s="17">
        <v>43607.716851851852</v>
      </c>
      <c r="C8" s="2" t="s">
        <v>39</v>
      </c>
      <c r="D8" s="2" t="s">
        <v>40</v>
      </c>
      <c r="E8" s="13">
        <v>6500</v>
      </c>
      <c r="F8" s="2">
        <v>1</v>
      </c>
    </row>
    <row r="9" spans="1:6" x14ac:dyDescent="0.25">
      <c r="A9" s="2">
        <v>8</v>
      </c>
      <c r="B9" s="17">
        <v>43607.716851851852</v>
      </c>
      <c r="C9" s="2" t="s">
        <v>37</v>
      </c>
      <c r="D9" s="2" t="s">
        <v>55</v>
      </c>
      <c r="E9" s="13">
        <v>2398</v>
      </c>
      <c r="F9" s="2">
        <v>3</v>
      </c>
    </row>
    <row r="10" spans="1:6" x14ac:dyDescent="0.25">
      <c r="A10" s="2">
        <v>9</v>
      </c>
      <c r="B10" s="17">
        <v>43607.716851851852</v>
      </c>
      <c r="C10" s="2" t="s">
        <v>87</v>
      </c>
      <c r="D10" s="2" t="s">
        <v>88</v>
      </c>
      <c r="E10" s="13">
        <v>1800</v>
      </c>
      <c r="F10" s="2">
        <v>4</v>
      </c>
    </row>
    <row r="11" spans="1:6" x14ac:dyDescent="0.25">
      <c r="A11" s="2">
        <v>10</v>
      </c>
      <c r="B11" s="17">
        <v>43607.71733796296</v>
      </c>
      <c r="C11" s="2" t="s">
        <v>39</v>
      </c>
      <c r="D11" s="2" t="s">
        <v>40</v>
      </c>
      <c r="E11" s="13">
        <v>6500</v>
      </c>
      <c r="F11" s="2">
        <v>1</v>
      </c>
    </row>
    <row r="12" spans="1:6" x14ac:dyDescent="0.25">
      <c r="A12" s="2">
        <v>11</v>
      </c>
      <c r="B12" s="17">
        <v>43607.71733796296</v>
      </c>
      <c r="C12" s="2" t="s">
        <v>38</v>
      </c>
      <c r="D12" s="2" t="s">
        <v>62</v>
      </c>
      <c r="E12" s="13">
        <v>6000</v>
      </c>
      <c r="F12" s="2">
        <v>2</v>
      </c>
    </row>
    <row r="13" spans="1:6" x14ac:dyDescent="0.25">
      <c r="A13" s="2">
        <v>12</v>
      </c>
      <c r="B13" s="17">
        <v>43607.71733796296</v>
      </c>
      <c r="C13" s="2" t="s">
        <v>37</v>
      </c>
      <c r="D13" s="2" t="s">
        <v>69</v>
      </c>
      <c r="E13" s="13">
        <v>2099</v>
      </c>
      <c r="F13" s="2">
        <v>4</v>
      </c>
    </row>
    <row r="14" spans="1:6" x14ac:dyDescent="0.25">
      <c r="A14" s="2">
        <v>13</v>
      </c>
      <c r="B14" s="17">
        <v>43607.71733796296</v>
      </c>
      <c r="C14" s="2" t="s">
        <v>41</v>
      </c>
      <c r="D14" s="2" t="s">
        <v>42</v>
      </c>
      <c r="E14" s="13">
        <v>12999</v>
      </c>
      <c r="F14" s="2">
        <v>5</v>
      </c>
    </row>
    <row r="15" spans="1:6" x14ac:dyDescent="0.25">
      <c r="A15" s="2">
        <v>14</v>
      </c>
      <c r="B15" s="17">
        <v>43607.72146990741</v>
      </c>
      <c r="C15" s="2" t="s">
        <v>39</v>
      </c>
      <c r="D15" s="2" t="s">
        <v>40</v>
      </c>
      <c r="E15" s="13">
        <v>6500</v>
      </c>
      <c r="F15" s="2">
        <v>1</v>
      </c>
    </row>
    <row r="16" spans="1:6" x14ac:dyDescent="0.25">
      <c r="A16" s="2">
        <v>15</v>
      </c>
      <c r="B16" s="17">
        <v>43607.72146990741</v>
      </c>
      <c r="C16" s="2" t="s">
        <v>37</v>
      </c>
      <c r="D16" s="2" t="s">
        <v>55</v>
      </c>
      <c r="E16" s="13">
        <v>2398</v>
      </c>
      <c r="F16" s="2">
        <v>3</v>
      </c>
    </row>
    <row r="17" spans="1:6" x14ac:dyDescent="0.25">
      <c r="A17" s="2">
        <v>16</v>
      </c>
      <c r="B17" s="17">
        <v>43607.72146990741</v>
      </c>
      <c r="C17" s="2" t="s">
        <v>35</v>
      </c>
      <c r="D17" s="2" t="s">
        <v>36</v>
      </c>
      <c r="E17" s="13">
        <v>6399</v>
      </c>
      <c r="F17" s="2">
        <v>3</v>
      </c>
    </row>
    <row r="18" spans="1:6" x14ac:dyDescent="0.25">
      <c r="A18" s="2">
        <v>17</v>
      </c>
      <c r="B18" s="17">
        <v>43607.72146990741</v>
      </c>
      <c r="C18" s="2" t="s">
        <v>85</v>
      </c>
      <c r="D18" s="2" t="s">
        <v>86</v>
      </c>
      <c r="E18" s="13">
        <v>5200</v>
      </c>
      <c r="F18" s="2">
        <v>7</v>
      </c>
    </row>
    <row r="19" spans="1:6" x14ac:dyDescent="0.25">
      <c r="A19" s="2">
        <v>18</v>
      </c>
      <c r="B19" s="17">
        <v>43607.72146990741</v>
      </c>
      <c r="C19" s="2" t="s">
        <v>74</v>
      </c>
      <c r="D19" s="2" t="s">
        <v>78</v>
      </c>
      <c r="E19" s="13">
        <v>20</v>
      </c>
      <c r="F19" s="2">
        <v>2</v>
      </c>
    </row>
    <row r="20" spans="1:6" x14ac:dyDescent="0.25">
      <c r="A20" s="2">
        <v>19</v>
      </c>
      <c r="B20" s="17">
        <v>43607.72146990741</v>
      </c>
      <c r="C20" s="2" t="s">
        <v>90</v>
      </c>
      <c r="D20" s="2" t="s">
        <v>91</v>
      </c>
      <c r="E20" s="13">
        <v>40</v>
      </c>
      <c r="F20" s="2">
        <v>2</v>
      </c>
    </row>
    <row r="21" spans="1:6" x14ac:dyDescent="0.25">
      <c r="A21" s="2">
        <v>20</v>
      </c>
      <c r="B21" s="17">
        <v>43607.722557870373</v>
      </c>
      <c r="C21" s="2" t="s">
        <v>38</v>
      </c>
      <c r="D21" s="2" t="s">
        <v>62</v>
      </c>
      <c r="E21" s="13">
        <v>6000</v>
      </c>
      <c r="F21" s="2">
        <v>3</v>
      </c>
    </row>
    <row r="22" spans="1:6" x14ac:dyDescent="0.25">
      <c r="A22" s="2">
        <v>21</v>
      </c>
      <c r="B22" s="17">
        <v>43607.722557870373</v>
      </c>
      <c r="C22" s="2" t="s">
        <v>37</v>
      </c>
      <c r="D22" s="2" t="s">
        <v>55</v>
      </c>
      <c r="E22" s="13">
        <v>2398</v>
      </c>
      <c r="F22" s="2">
        <v>2</v>
      </c>
    </row>
    <row r="23" spans="1:6" x14ac:dyDescent="0.25">
      <c r="A23" s="2">
        <v>22</v>
      </c>
      <c r="B23" s="17">
        <v>43607.722557870373</v>
      </c>
      <c r="C23" s="2" t="s">
        <v>53</v>
      </c>
      <c r="D23" s="2" t="s">
        <v>59</v>
      </c>
      <c r="E23" s="13">
        <v>14980</v>
      </c>
      <c r="F23" s="2">
        <v>2</v>
      </c>
    </row>
    <row r="24" spans="1:6" x14ac:dyDescent="0.25">
      <c r="A24" s="2">
        <v>23</v>
      </c>
      <c r="B24" s="17">
        <v>43607.722557870373</v>
      </c>
      <c r="C24" s="2" t="s">
        <v>74</v>
      </c>
      <c r="D24" s="2" t="s">
        <v>78</v>
      </c>
      <c r="E24" s="13">
        <v>20</v>
      </c>
      <c r="F24" s="2">
        <v>1</v>
      </c>
    </row>
    <row r="25" spans="1:6" x14ac:dyDescent="0.25">
      <c r="A25" s="2">
        <v>24</v>
      </c>
      <c r="B25" s="17">
        <v>43607.723749999997</v>
      </c>
      <c r="C25" s="2" t="s">
        <v>39</v>
      </c>
      <c r="D25" s="2" t="s">
        <v>40</v>
      </c>
      <c r="E25" s="13">
        <v>6500</v>
      </c>
      <c r="F25" s="2">
        <v>4</v>
      </c>
    </row>
    <row r="26" spans="1:6" x14ac:dyDescent="0.25">
      <c r="A26" s="2">
        <v>25</v>
      </c>
      <c r="B26" s="17">
        <v>43607.723749999997</v>
      </c>
      <c r="C26" s="2" t="s">
        <v>53</v>
      </c>
      <c r="D26" s="2" t="s">
        <v>59</v>
      </c>
      <c r="E26" s="13">
        <v>14980</v>
      </c>
      <c r="F26" s="2">
        <v>2</v>
      </c>
    </row>
    <row r="27" spans="1:6" x14ac:dyDescent="0.25">
      <c r="A27" s="2">
        <v>26</v>
      </c>
      <c r="B27" s="17">
        <v>43607.723749999997</v>
      </c>
      <c r="C27" s="2" t="s">
        <v>90</v>
      </c>
      <c r="D27" s="2" t="s">
        <v>91</v>
      </c>
      <c r="E27" s="13">
        <v>40</v>
      </c>
      <c r="F27" s="2">
        <v>10</v>
      </c>
    </row>
    <row r="28" spans="1:6" x14ac:dyDescent="0.25">
      <c r="A28" s="2">
        <v>27</v>
      </c>
      <c r="B28" s="17">
        <v>43607.744976851849</v>
      </c>
      <c r="C28" s="2" t="s">
        <v>39</v>
      </c>
      <c r="D28" s="2" t="s">
        <v>40</v>
      </c>
      <c r="E28" s="13">
        <v>6500</v>
      </c>
      <c r="F28" s="2">
        <v>1</v>
      </c>
    </row>
    <row r="29" spans="1:6" x14ac:dyDescent="0.25">
      <c r="A29" s="2">
        <v>28</v>
      </c>
      <c r="B29" s="17">
        <v>43607.744976851849</v>
      </c>
      <c r="C29" s="2" t="s">
        <v>38</v>
      </c>
      <c r="D29" s="2" t="s">
        <v>62</v>
      </c>
      <c r="E29" s="13">
        <v>6000</v>
      </c>
      <c r="F29" s="2">
        <v>2</v>
      </c>
    </row>
    <row r="30" spans="1:6" x14ac:dyDescent="0.25">
      <c r="A30" s="2">
        <v>29</v>
      </c>
      <c r="B30" s="17">
        <v>43607.744976851849</v>
      </c>
      <c r="C30" s="2" t="s">
        <v>37</v>
      </c>
      <c r="D30" s="2" t="s">
        <v>55</v>
      </c>
      <c r="E30" s="13">
        <v>2398</v>
      </c>
      <c r="F30" s="2">
        <v>3</v>
      </c>
    </row>
    <row r="31" spans="1:6" x14ac:dyDescent="0.25">
      <c r="A31" s="2">
        <v>30</v>
      </c>
      <c r="B31" s="17">
        <v>43607.744976851849</v>
      </c>
      <c r="C31" s="2" t="s">
        <v>37</v>
      </c>
      <c r="D31" s="2" t="s">
        <v>69</v>
      </c>
      <c r="E31" s="13">
        <v>2099</v>
      </c>
      <c r="F31" s="2">
        <v>4</v>
      </c>
    </row>
    <row r="32" spans="1:6" x14ac:dyDescent="0.25">
      <c r="A32" s="2">
        <v>31</v>
      </c>
      <c r="B32" s="17">
        <v>43607.744976851849</v>
      </c>
      <c r="C32" s="2" t="s">
        <v>41</v>
      </c>
      <c r="D32" s="2" t="s">
        <v>42</v>
      </c>
      <c r="E32" s="13">
        <v>12999</v>
      </c>
      <c r="F32" s="2">
        <v>5</v>
      </c>
    </row>
    <row r="33" spans="1:6" x14ac:dyDescent="0.25">
      <c r="A33" s="2">
        <v>32</v>
      </c>
      <c r="B33" s="17">
        <v>43607.754999999997</v>
      </c>
      <c r="C33" s="2" t="s">
        <v>39</v>
      </c>
      <c r="D33" s="2" t="s">
        <v>40</v>
      </c>
      <c r="E33" s="13">
        <v>6500</v>
      </c>
      <c r="F33" s="2">
        <v>1</v>
      </c>
    </row>
    <row r="34" spans="1:6" x14ac:dyDescent="0.25">
      <c r="A34" s="2">
        <v>33</v>
      </c>
      <c r="B34" s="17">
        <v>43607.754999999997</v>
      </c>
      <c r="C34" s="2" t="s">
        <v>38</v>
      </c>
      <c r="D34" s="2" t="s">
        <v>62</v>
      </c>
      <c r="E34" s="13">
        <v>6000</v>
      </c>
      <c r="F34" s="2">
        <v>2</v>
      </c>
    </row>
    <row r="35" spans="1:6" x14ac:dyDescent="0.25">
      <c r="A35" s="2">
        <v>34</v>
      </c>
      <c r="B35" s="17">
        <v>43607.754999999997</v>
      </c>
      <c r="C35" s="2" t="s">
        <v>37</v>
      </c>
      <c r="D35" s="2" t="s">
        <v>55</v>
      </c>
      <c r="E35" s="13">
        <v>2398</v>
      </c>
      <c r="F35" s="2">
        <v>3</v>
      </c>
    </row>
    <row r="36" spans="1:6" x14ac:dyDescent="0.25">
      <c r="A36" s="2">
        <v>35</v>
      </c>
      <c r="B36" s="17">
        <v>43608.464386574073</v>
      </c>
      <c r="C36" s="2" t="s">
        <v>39</v>
      </c>
      <c r="D36" s="2" t="s">
        <v>40</v>
      </c>
      <c r="E36" s="13">
        <v>6500</v>
      </c>
      <c r="F36" s="2">
        <v>1</v>
      </c>
    </row>
    <row r="37" spans="1:6" x14ac:dyDescent="0.25">
      <c r="A37" s="2">
        <v>36</v>
      </c>
      <c r="B37" s="17">
        <v>43608.464386574073</v>
      </c>
      <c r="C37" s="2" t="s">
        <v>38</v>
      </c>
      <c r="D37" s="2" t="s">
        <v>62</v>
      </c>
      <c r="E37" s="13">
        <v>6000</v>
      </c>
      <c r="F37" s="2">
        <v>2</v>
      </c>
    </row>
    <row r="38" spans="1:6" x14ac:dyDescent="0.25">
      <c r="A38" s="2">
        <v>37</v>
      </c>
      <c r="B38" s="17">
        <v>43608.464386574073</v>
      </c>
      <c r="C38" s="2" t="s">
        <v>37</v>
      </c>
      <c r="D38" s="2" t="s">
        <v>55</v>
      </c>
      <c r="E38" s="13">
        <v>2398</v>
      </c>
      <c r="F38" s="2">
        <v>3</v>
      </c>
    </row>
    <row r="39" spans="1:6" x14ac:dyDescent="0.25">
      <c r="A39" s="2">
        <v>38</v>
      </c>
      <c r="B39" s="17">
        <v>43608.464386574073</v>
      </c>
      <c r="C39" s="2" t="s">
        <v>37</v>
      </c>
      <c r="D39" s="2" t="s">
        <v>69</v>
      </c>
      <c r="E39" s="13">
        <v>2099</v>
      </c>
      <c r="F39" s="2">
        <v>4</v>
      </c>
    </row>
    <row r="40" spans="1:6" x14ac:dyDescent="0.25">
      <c r="A40" s="2">
        <v>39</v>
      </c>
      <c r="B40" s="17">
        <v>43608.464386574073</v>
      </c>
      <c r="C40" s="2" t="s">
        <v>41</v>
      </c>
      <c r="D40" s="2" t="s">
        <v>42</v>
      </c>
      <c r="E40" s="13">
        <v>12999</v>
      </c>
      <c r="F40" s="2">
        <v>5</v>
      </c>
    </row>
    <row r="41" spans="1:6" x14ac:dyDescent="0.25">
      <c r="A41" s="2">
        <v>40</v>
      </c>
      <c r="B41" s="17">
        <v>43608.694062499999</v>
      </c>
      <c r="C41" s="2" t="s">
        <v>39</v>
      </c>
      <c r="D41" s="2" t="s">
        <v>40</v>
      </c>
      <c r="E41" s="13">
        <v>6500</v>
      </c>
      <c r="F41" s="2">
        <v>1</v>
      </c>
    </row>
    <row r="42" spans="1:6" x14ac:dyDescent="0.25">
      <c r="A42" s="2">
        <v>41</v>
      </c>
      <c r="B42" s="17">
        <v>43608.694062499999</v>
      </c>
      <c r="C42" s="2" t="s">
        <v>38</v>
      </c>
      <c r="D42" s="2" t="s">
        <v>62</v>
      </c>
      <c r="E42" s="13">
        <v>6000</v>
      </c>
      <c r="F42" s="2">
        <v>2</v>
      </c>
    </row>
    <row r="43" spans="1:6" x14ac:dyDescent="0.25">
      <c r="A43" s="2">
        <v>42</v>
      </c>
      <c r="B43" s="17">
        <v>43608.694062499999</v>
      </c>
      <c r="C43" s="2" t="s">
        <v>37</v>
      </c>
      <c r="D43" s="2" t="s">
        <v>55</v>
      </c>
      <c r="E43" s="13">
        <v>2398</v>
      </c>
      <c r="F43" s="2">
        <v>3</v>
      </c>
    </row>
    <row r="44" spans="1:6" x14ac:dyDescent="0.25">
      <c r="A44" s="2">
        <v>43</v>
      </c>
      <c r="B44" s="17">
        <v>43608.694062499999</v>
      </c>
      <c r="C44" s="2" t="s">
        <v>37</v>
      </c>
      <c r="D44" s="2" t="s">
        <v>69</v>
      </c>
      <c r="E44" s="13">
        <v>2099</v>
      </c>
      <c r="F44" s="2">
        <v>4</v>
      </c>
    </row>
    <row r="45" spans="1:6" x14ac:dyDescent="0.25">
      <c r="A45" s="2">
        <v>44</v>
      </c>
      <c r="B45" s="17">
        <v>43608.694062499999</v>
      </c>
      <c r="C45" s="2" t="s">
        <v>41</v>
      </c>
      <c r="D45" s="2" t="s">
        <v>42</v>
      </c>
      <c r="E45" s="13">
        <v>12999</v>
      </c>
      <c r="F45" s="2">
        <v>5</v>
      </c>
    </row>
    <row r="46" spans="1:6" x14ac:dyDescent="0.25">
      <c r="A46" s="2">
        <v>45</v>
      </c>
      <c r="B46" s="17">
        <v>43608.694062499999</v>
      </c>
      <c r="C46" s="2" t="s">
        <v>53</v>
      </c>
      <c r="D46" s="2" t="s">
        <v>59</v>
      </c>
      <c r="E46" s="13">
        <v>14980</v>
      </c>
      <c r="F46" s="2">
        <v>2</v>
      </c>
    </row>
    <row r="47" spans="1:6" x14ac:dyDescent="0.25">
      <c r="A47" s="2">
        <v>46</v>
      </c>
      <c r="B47" s="17">
        <v>43608.694062499999</v>
      </c>
      <c r="C47" s="2" t="s">
        <v>83</v>
      </c>
      <c r="D47" s="2" t="s">
        <v>84</v>
      </c>
      <c r="E47" s="13">
        <v>6890</v>
      </c>
      <c r="F47" s="2">
        <v>3</v>
      </c>
    </row>
    <row r="48" spans="1:6" x14ac:dyDescent="0.25">
      <c r="A48" s="2">
        <v>47</v>
      </c>
      <c r="B48" s="17">
        <v>43608.694062499999</v>
      </c>
      <c r="C48" s="2" t="s">
        <v>87</v>
      </c>
      <c r="D48" s="2" t="s">
        <v>88</v>
      </c>
      <c r="E48" s="13">
        <v>1800</v>
      </c>
      <c r="F48" s="2">
        <v>4</v>
      </c>
    </row>
    <row r="49" spans="1:6" x14ac:dyDescent="0.25">
      <c r="A49" s="2">
        <v>48</v>
      </c>
      <c r="B49" s="17">
        <v>43608.694062499999</v>
      </c>
      <c r="C49" s="2" t="s">
        <v>87</v>
      </c>
      <c r="D49" s="2" t="s">
        <v>88</v>
      </c>
      <c r="E49" s="13">
        <v>1800</v>
      </c>
      <c r="F49" s="2">
        <v>11</v>
      </c>
    </row>
    <row r="50" spans="1:6" x14ac:dyDescent="0.25">
      <c r="A50" s="2">
        <v>49</v>
      </c>
      <c r="B50" s="17">
        <v>43608.694374999999</v>
      </c>
      <c r="C50" s="2" t="s">
        <v>87</v>
      </c>
      <c r="D50" s="2" t="s">
        <v>88</v>
      </c>
      <c r="E50" s="13">
        <v>1800</v>
      </c>
      <c r="F50" s="2">
        <v>20</v>
      </c>
    </row>
    <row r="51" spans="1:6" x14ac:dyDescent="0.25">
      <c r="A51" s="2">
        <v>50</v>
      </c>
      <c r="B51" s="17">
        <v>43613.755150462966</v>
      </c>
      <c r="C51" s="2" t="s">
        <v>39</v>
      </c>
      <c r="D51" s="2" t="s">
        <v>40</v>
      </c>
      <c r="E51" s="13">
        <v>6500</v>
      </c>
      <c r="F51" s="2">
        <v>1</v>
      </c>
    </row>
    <row r="52" spans="1:6" x14ac:dyDescent="0.25">
      <c r="A52" s="2">
        <v>51</v>
      </c>
      <c r="B52" s="17">
        <v>43613.755150462966</v>
      </c>
      <c r="C52" s="2" t="s">
        <v>38</v>
      </c>
      <c r="D52" s="2" t="s">
        <v>62</v>
      </c>
      <c r="E52" s="13">
        <v>6000</v>
      </c>
      <c r="F52" s="2">
        <v>7</v>
      </c>
    </row>
    <row r="53" spans="1:6" x14ac:dyDescent="0.25">
      <c r="A53" s="2">
        <v>52</v>
      </c>
      <c r="B53" s="17">
        <v>43613.755150462966</v>
      </c>
      <c r="C53" s="2" t="s">
        <v>37</v>
      </c>
      <c r="D53" s="2" t="s">
        <v>55</v>
      </c>
      <c r="E53" s="13">
        <v>2398</v>
      </c>
      <c r="F53" s="2">
        <v>3</v>
      </c>
    </row>
    <row r="54" spans="1:6" x14ac:dyDescent="0.25">
      <c r="A54" s="2">
        <v>53</v>
      </c>
      <c r="B54" s="17">
        <v>43613.755150462966</v>
      </c>
      <c r="C54" s="2" t="s">
        <v>87</v>
      </c>
      <c r="D54" s="2" t="s">
        <v>88</v>
      </c>
      <c r="E54" s="13">
        <v>1800</v>
      </c>
      <c r="F54" s="2">
        <v>2</v>
      </c>
    </row>
    <row r="55" spans="1:6" x14ac:dyDescent="0.25">
      <c r="A55" s="2">
        <v>54</v>
      </c>
      <c r="B55" s="17">
        <v>43613.755150462966</v>
      </c>
      <c r="C55" s="2" t="s">
        <v>53</v>
      </c>
      <c r="D55" s="2" t="s">
        <v>59</v>
      </c>
      <c r="E55" s="13">
        <v>14980</v>
      </c>
      <c r="F55" s="2">
        <v>3</v>
      </c>
    </row>
    <row r="56" spans="1:6" x14ac:dyDescent="0.25">
      <c r="A56" s="2">
        <v>55</v>
      </c>
      <c r="B56" s="17">
        <v>43613.756620370368</v>
      </c>
      <c r="C56" s="2" t="s">
        <v>38</v>
      </c>
      <c r="D56" s="2" t="s">
        <v>62</v>
      </c>
      <c r="E56" s="13">
        <v>6000</v>
      </c>
      <c r="F56" s="2">
        <v>5</v>
      </c>
    </row>
    <row r="57" spans="1:6" x14ac:dyDescent="0.25">
      <c r="A57" s="2">
        <v>56</v>
      </c>
      <c r="B57" s="17">
        <v>43613.756620370368</v>
      </c>
      <c r="C57" s="2" t="s">
        <v>37</v>
      </c>
      <c r="D57" s="2" t="s">
        <v>55</v>
      </c>
      <c r="E57" s="13">
        <v>2398</v>
      </c>
      <c r="F57" s="2">
        <v>2</v>
      </c>
    </row>
    <row r="58" spans="1:6" x14ac:dyDescent="0.25">
      <c r="A58" s="2">
        <v>57</v>
      </c>
      <c r="B58" s="17">
        <v>43613.756620370368</v>
      </c>
      <c r="C58" s="2" t="s">
        <v>74</v>
      </c>
      <c r="D58" s="2" t="s">
        <v>78</v>
      </c>
      <c r="E58" s="13">
        <v>20</v>
      </c>
      <c r="F58" s="2">
        <v>3</v>
      </c>
    </row>
    <row r="59" spans="1:6" x14ac:dyDescent="0.25">
      <c r="A59" s="2">
        <v>58</v>
      </c>
      <c r="B59" s="17">
        <v>43613.756620370368</v>
      </c>
      <c r="C59" s="2" t="s">
        <v>53</v>
      </c>
      <c r="D59" s="2" t="s">
        <v>59</v>
      </c>
      <c r="E59" s="13">
        <v>14980</v>
      </c>
      <c r="F59" s="2">
        <v>1</v>
      </c>
    </row>
    <row r="60" spans="1:6" x14ac:dyDescent="0.25">
      <c r="A60" s="2">
        <v>59</v>
      </c>
      <c r="B60" s="17">
        <v>43613.756620370368</v>
      </c>
      <c r="C60" s="2" t="s">
        <v>83</v>
      </c>
      <c r="D60" s="2" t="s">
        <v>84</v>
      </c>
      <c r="E60" s="13">
        <v>6890</v>
      </c>
      <c r="F60" s="2">
        <v>3</v>
      </c>
    </row>
    <row r="61" spans="1:6" x14ac:dyDescent="0.25">
      <c r="A61" s="2">
        <v>60</v>
      </c>
      <c r="B61" s="17">
        <v>43614.488761574074</v>
      </c>
      <c r="C61" s="2" t="s">
        <v>74</v>
      </c>
      <c r="D61" s="2" t="s">
        <v>78</v>
      </c>
      <c r="E61" s="13">
        <v>20</v>
      </c>
      <c r="F61" s="2">
        <v>2</v>
      </c>
    </row>
    <row r="62" spans="1:6" x14ac:dyDescent="0.25">
      <c r="A62" s="2">
        <v>61</v>
      </c>
      <c r="B62" s="17">
        <v>43614.488761574074</v>
      </c>
      <c r="C62" s="2" t="s">
        <v>85</v>
      </c>
      <c r="D62" s="2" t="s">
        <v>86</v>
      </c>
      <c r="E62" s="13">
        <v>5200</v>
      </c>
      <c r="F62" s="2">
        <v>2</v>
      </c>
    </row>
    <row r="63" spans="1:6" x14ac:dyDescent="0.25">
      <c r="A63" s="2">
        <v>62</v>
      </c>
      <c r="B63" s="17">
        <v>43614.488761574074</v>
      </c>
      <c r="C63" s="2" t="s">
        <v>90</v>
      </c>
      <c r="D63" s="2" t="s">
        <v>91</v>
      </c>
      <c r="E63" s="13">
        <v>40</v>
      </c>
      <c r="F63" s="2">
        <v>4</v>
      </c>
    </row>
    <row r="64" spans="1:6" x14ac:dyDescent="0.25">
      <c r="A64" s="2">
        <v>63</v>
      </c>
      <c r="B64" s="17">
        <v>43614.539652777778</v>
      </c>
      <c r="C64" s="2" t="s">
        <v>39</v>
      </c>
      <c r="D64" s="2" t="s">
        <v>40</v>
      </c>
      <c r="E64" s="13">
        <v>6500</v>
      </c>
      <c r="F64" s="2">
        <v>1</v>
      </c>
    </row>
    <row r="65" spans="1:6" x14ac:dyDescent="0.25">
      <c r="A65" s="2">
        <v>64</v>
      </c>
      <c r="B65" s="17">
        <v>43614.539652777778</v>
      </c>
      <c r="C65" s="2" t="s">
        <v>38</v>
      </c>
      <c r="D65" s="2" t="s">
        <v>62</v>
      </c>
      <c r="E65" s="13">
        <v>6000</v>
      </c>
      <c r="F65" s="2">
        <v>2</v>
      </c>
    </row>
    <row r="66" spans="1:6" x14ac:dyDescent="0.25">
      <c r="A66" s="2">
        <v>65</v>
      </c>
      <c r="B66" s="17">
        <v>43614.539652777778</v>
      </c>
      <c r="C66" s="2" t="s">
        <v>37</v>
      </c>
      <c r="D66" s="2" t="s">
        <v>55</v>
      </c>
      <c r="E66" s="13">
        <v>2398</v>
      </c>
      <c r="F66" s="2">
        <v>3</v>
      </c>
    </row>
    <row r="67" spans="1:6" x14ac:dyDescent="0.25">
      <c r="A67" s="2">
        <v>66</v>
      </c>
      <c r="B67" s="17">
        <v>43614.604583333334</v>
      </c>
      <c r="C67" s="2" t="s">
        <v>39</v>
      </c>
      <c r="D67" s="2" t="s">
        <v>40</v>
      </c>
      <c r="E67" s="13">
        <v>6500</v>
      </c>
      <c r="F67" s="2">
        <v>1</v>
      </c>
    </row>
    <row r="68" spans="1:6" x14ac:dyDescent="0.25">
      <c r="A68" s="2">
        <v>67</v>
      </c>
      <c r="B68" s="17">
        <v>43614.604583333334</v>
      </c>
      <c r="C68" s="2" t="s">
        <v>38</v>
      </c>
      <c r="D68" s="2" t="s">
        <v>62</v>
      </c>
      <c r="E68" s="13">
        <v>6000</v>
      </c>
      <c r="F68" s="2">
        <v>2</v>
      </c>
    </row>
    <row r="69" spans="1:6" x14ac:dyDescent="0.25">
      <c r="A69" s="2">
        <v>68</v>
      </c>
      <c r="B69" s="17">
        <v>43614.604583333334</v>
      </c>
      <c r="C69" s="2" t="s">
        <v>37</v>
      </c>
      <c r="D69" s="2" t="s">
        <v>55</v>
      </c>
      <c r="E69" s="13">
        <v>2398</v>
      </c>
      <c r="F69" s="2">
        <v>3</v>
      </c>
    </row>
    <row r="70" spans="1:6" x14ac:dyDescent="0.25">
      <c r="A70" s="2">
        <v>69</v>
      </c>
      <c r="B70" s="17">
        <v>43614.604583333334</v>
      </c>
      <c r="C70" s="2" t="s">
        <v>37</v>
      </c>
      <c r="D70" s="2" t="s">
        <v>69</v>
      </c>
      <c r="E70" s="13">
        <v>2099</v>
      </c>
      <c r="F70" s="2">
        <v>4</v>
      </c>
    </row>
    <row r="71" spans="1:6" x14ac:dyDescent="0.25">
      <c r="A71" s="2">
        <v>70</v>
      </c>
      <c r="B71" s="17">
        <v>43614.604583333334</v>
      </c>
      <c r="C71" s="2" t="s">
        <v>41</v>
      </c>
      <c r="D71" s="2" t="s">
        <v>42</v>
      </c>
      <c r="E71" s="13">
        <v>12999</v>
      </c>
      <c r="F71" s="2">
        <v>5</v>
      </c>
    </row>
    <row r="72" spans="1:6" x14ac:dyDescent="0.25">
      <c r="A72" s="2">
        <v>71</v>
      </c>
      <c r="B72" s="17">
        <v>43614.604583333334</v>
      </c>
      <c r="C72" s="2" t="s">
        <v>35</v>
      </c>
      <c r="D72" s="2" t="s">
        <v>36</v>
      </c>
      <c r="E72" s="13">
        <v>6399</v>
      </c>
      <c r="F72" s="2">
        <v>1</v>
      </c>
    </row>
    <row r="73" spans="1:6" x14ac:dyDescent="0.25">
      <c r="A73" s="2">
        <v>72</v>
      </c>
      <c r="B73" s="17">
        <v>43614.604583333334</v>
      </c>
      <c r="C73" s="2" t="s">
        <v>53</v>
      </c>
      <c r="D73" s="2" t="s">
        <v>59</v>
      </c>
      <c r="E73" s="13">
        <v>14980</v>
      </c>
      <c r="F73" s="2">
        <v>2</v>
      </c>
    </row>
    <row r="74" spans="1:6" x14ac:dyDescent="0.25">
      <c r="A74" s="2">
        <v>73</v>
      </c>
      <c r="B74" s="17">
        <v>43614.604583333334</v>
      </c>
      <c r="C74" s="2" t="s">
        <v>83</v>
      </c>
      <c r="D74" s="2" t="s">
        <v>84</v>
      </c>
      <c r="E74" s="13">
        <v>6890</v>
      </c>
      <c r="F74" s="2">
        <v>3</v>
      </c>
    </row>
    <row r="75" spans="1:6" x14ac:dyDescent="0.25">
      <c r="A75" s="2">
        <v>74</v>
      </c>
      <c r="B75" s="17">
        <v>43614.604583333334</v>
      </c>
      <c r="C75" s="2" t="s">
        <v>87</v>
      </c>
      <c r="D75" s="2" t="s">
        <v>88</v>
      </c>
      <c r="E75" s="13">
        <v>1800</v>
      </c>
      <c r="F75" s="2">
        <v>4</v>
      </c>
    </row>
    <row r="76" spans="1:6" x14ac:dyDescent="0.25">
      <c r="A76" s="2">
        <v>75</v>
      </c>
      <c r="B76" s="17">
        <v>43614.604583333334</v>
      </c>
      <c r="C76" s="2" t="s">
        <v>85</v>
      </c>
      <c r="D76" s="2" t="s">
        <v>86</v>
      </c>
      <c r="E76" s="13">
        <v>5200</v>
      </c>
      <c r="F76" s="2">
        <v>5</v>
      </c>
    </row>
    <row r="77" spans="1:6" x14ac:dyDescent="0.25">
      <c r="A77" s="2">
        <v>76</v>
      </c>
      <c r="B77" s="17">
        <v>43614.605185185188</v>
      </c>
      <c r="C77" s="2" t="s">
        <v>39</v>
      </c>
      <c r="D77" s="2" t="s">
        <v>40</v>
      </c>
      <c r="E77" s="13">
        <v>6500</v>
      </c>
      <c r="F77" s="2">
        <v>3</v>
      </c>
    </row>
    <row r="78" spans="1:6" x14ac:dyDescent="0.25">
      <c r="A78" s="2">
        <v>77</v>
      </c>
      <c r="B78" s="17">
        <v>43614.605185185188</v>
      </c>
      <c r="C78" s="2" t="s">
        <v>37</v>
      </c>
      <c r="D78" s="2" t="s">
        <v>69</v>
      </c>
      <c r="E78" s="13">
        <v>2099</v>
      </c>
      <c r="F78" s="2">
        <v>3</v>
      </c>
    </row>
    <row r="79" spans="1:6" x14ac:dyDescent="0.25">
      <c r="A79" s="2">
        <v>78</v>
      </c>
      <c r="B79" s="17">
        <v>43614.606504629628</v>
      </c>
      <c r="C79" s="2" t="s">
        <v>38</v>
      </c>
      <c r="D79" s="2" t="s">
        <v>62</v>
      </c>
      <c r="E79" s="13">
        <v>6000</v>
      </c>
      <c r="F79" s="2">
        <v>5</v>
      </c>
    </row>
    <row r="80" spans="1:6" x14ac:dyDescent="0.25">
      <c r="A80" s="2">
        <v>79</v>
      </c>
      <c r="B80" s="17">
        <v>43614.606504629628</v>
      </c>
      <c r="C80" s="2" t="s">
        <v>37</v>
      </c>
      <c r="D80" s="2" t="s">
        <v>55</v>
      </c>
      <c r="E80" s="13">
        <v>2398</v>
      </c>
      <c r="F80" s="2">
        <v>4</v>
      </c>
    </row>
    <row r="81" spans="1:6" x14ac:dyDescent="0.25">
      <c r="A81" s="2">
        <v>80</v>
      </c>
      <c r="B81" s="17">
        <v>43614.608888888892</v>
      </c>
      <c r="C81" s="2" t="s">
        <v>38</v>
      </c>
      <c r="D81" s="2" t="s">
        <v>62</v>
      </c>
      <c r="E81" s="13">
        <v>6000</v>
      </c>
      <c r="F81" s="2">
        <v>5</v>
      </c>
    </row>
    <row r="82" spans="1:6" x14ac:dyDescent="0.25">
      <c r="A82" s="2">
        <v>81</v>
      </c>
      <c r="B82" s="17">
        <v>43614.608888888892</v>
      </c>
      <c r="C82" s="2" t="s">
        <v>37</v>
      </c>
      <c r="D82" s="2" t="s">
        <v>55</v>
      </c>
      <c r="E82" s="13">
        <v>2398</v>
      </c>
      <c r="F82" s="2">
        <v>2</v>
      </c>
    </row>
    <row r="83" spans="1:6" x14ac:dyDescent="0.25">
      <c r="A83" s="2">
        <v>82</v>
      </c>
      <c r="B83" s="17">
        <v>43614.609537037039</v>
      </c>
      <c r="C83" s="2" t="s">
        <v>38</v>
      </c>
      <c r="D83" s="2" t="s">
        <v>62</v>
      </c>
      <c r="E83" s="13">
        <v>6000</v>
      </c>
      <c r="F83" s="2">
        <v>5</v>
      </c>
    </row>
    <row r="84" spans="1:6" x14ac:dyDescent="0.25">
      <c r="A84" s="2">
        <v>83</v>
      </c>
      <c r="B84" s="17">
        <v>43614.610590277778</v>
      </c>
      <c r="C84" s="2" t="s">
        <v>38</v>
      </c>
      <c r="D84" s="2" t="s">
        <v>62</v>
      </c>
      <c r="E84" s="13">
        <v>6000</v>
      </c>
      <c r="F84" s="2">
        <v>3</v>
      </c>
    </row>
    <row r="85" spans="1:6" x14ac:dyDescent="0.25">
      <c r="A85" s="2">
        <v>84</v>
      </c>
      <c r="B85" s="17">
        <v>43614.610590277778</v>
      </c>
      <c r="C85" s="2" t="s">
        <v>37</v>
      </c>
      <c r="D85" s="2" t="s">
        <v>55</v>
      </c>
      <c r="E85" s="13">
        <v>2398</v>
      </c>
      <c r="F85" s="2">
        <v>3</v>
      </c>
    </row>
    <row r="86" spans="1:6" x14ac:dyDescent="0.25">
      <c r="A86" s="2">
        <v>85</v>
      </c>
      <c r="B86" s="17">
        <v>43614.610821759263</v>
      </c>
      <c r="C86" s="2" t="s">
        <v>38</v>
      </c>
      <c r="D86" s="2" t="s">
        <v>62</v>
      </c>
      <c r="E86" s="13">
        <v>6000</v>
      </c>
      <c r="F86" s="2">
        <v>3</v>
      </c>
    </row>
    <row r="87" spans="1:6" x14ac:dyDescent="0.25">
      <c r="A87" s="2">
        <v>86</v>
      </c>
      <c r="B87" s="17">
        <v>43614.610821759263</v>
      </c>
      <c r="C87" s="2" t="s">
        <v>37</v>
      </c>
      <c r="D87" s="2" t="s">
        <v>55</v>
      </c>
      <c r="E87" s="13">
        <v>2398</v>
      </c>
      <c r="F87" s="2">
        <v>3</v>
      </c>
    </row>
    <row r="88" spans="1:6" x14ac:dyDescent="0.25">
      <c r="A88" s="2">
        <v>87</v>
      </c>
      <c r="B88" s="17">
        <v>43614.615451388891</v>
      </c>
      <c r="C88" s="2" t="s">
        <v>39</v>
      </c>
      <c r="D88" s="2" t="s">
        <v>40</v>
      </c>
      <c r="E88" s="13">
        <v>6500</v>
      </c>
      <c r="F88" s="2">
        <v>1</v>
      </c>
    </row>
    <row r="89" spans="1:6" x14ac:dyDescent="0.25">
      <c r="A89" s="2">
        <v>88</v>
      </c>
      <c r="B89" s="17">
        <v>43614.615451388891</v>
      </c>
      <c r="C89" s="2" t="s">
        <v>38</v>
      </c>
      <c r="D89" s="2" t="s">
        <v>62</v>
      </c>
      <c r="E89" s="13">
        <v>6000</v>
      </c>
      <c r="F89" s="2">
        <v>4</v>
      </c>
    </row>
    <row r="90" spans="1:6" x14ac:dyDescent="0.25">
      <c r="A90" s="2">
        <v>89</v>
      </c>
      <c r="B90" s="17">
        <v>43614.615451388891</v>
      </c>
      <c r="C90" s="2" t="s">
        <v>37</v>
      </c>
      <c r="D90" s="2" t="s">
        <v>55</v>
      </c>
      <c r="E90" s="13">
        <v>2398</v>
      </c>
      <c r="F90" s="2">
        <v>4</v>
      </c>
    </row>
    <row r="91" spans="1:6" x14ac:dyDescent="0.25">
      <c r="A91" s="2">
        <v>90</v>
      </c>
      <c r="B91" s="17">
        <v>43614.616111111114</v>
      </c>
      <c r="C91" s="2" t="s">
        <v>39</v>
      </c>
      <c r="D91" s="2" t="s">
        <v>40</v>
      </c>
      <c r="E91" s="13">
        <v>6500</v>
      </c>
      <c r="F91" s="2">
        <v>4</v>
      </c>
    </row>
    <row r="92" spans="1:6" x14ac:dyDescent="0.25">
      <c r="A92" s="2">
        <v>91</v>
      </c>
      <c r="B92" s="17">
        <v>43614.616608796299</v>
      </c>
      <c r="C92" s="2" t="s">
        <v>37</v>
      </c>
      <c r="D92" s="2" t="s">
        <v>55</v>
      </c>
      <c r="E92" s="13">
        <v>2398</v>
      </c>
      <c r="F92" s="2">
        <v>1</v>
      </c>
    </row>
    <row r="93" spans="1:6" x14ac:dyDescent="0.25">
      <c r="A93" s="2">
        <v>92</v>
      </c>
      <c r="B93" s="17">
        <v>43614.617615740739</v>
      </c>
      <c r="C93" s="2" t="s">
        <v>38</v>
      </c>
      <c r="D93" s="2" t="s">
        <v>62</v>
      </c>
      <c r="E93" s="13">
        <v>6000</v>
      </c>
      <c r="F93" s="2">
        <v>1</v>
      </c>
    </row>
    <row r="94" spans="1:6" x14ac:dyDescent="0.25">
      <c r="A94" s="2">
        <v>93</v>
      </c>
      <c r="B94" s="17">
        <v>43614.646967592591</v>
      </c>
      <c r="C94" s="2" t="s">
        <v>41</v>
      </c>
      <c r="D94" s="2" t="s">
        <v>42</v>
      </c>
      <c r="E94" s="13">
        <v>12999</v>
      </c>
      <c r="F94" s="2">
        <v>3</v>
      </c>
    </row>
    <row r="95" spans="1:6" x14ac:dyDescent="0.25">
      <c r="A95" s="2">
        <v>94</v>
      </c>
      <c r="B95" s="17">
        <v>43614.646967592591</v>
      </c>
      <c r="C95" s="2" t="s">
        <v>74</v>
      </c>
      <c r="D95" s="2" t="s">
        <v>78</v>
      </c>
      <c r="E95" s="13">
        <v>20</v>
      </c>
      <c r="F95" s="2">
        <v>2</v>
      </c>
    </row>
    <row r="96" spans="1:6" x14ac:dyDescent="0.25">
      <c r="A96" s="2">
        <v>95</v>
      </c>
      <c r="B96" s="17">
        <v>43614.646967592591</v>
      </c>
      <c r="C96" s="2" t="s">
        <v>83</v>
      </c>
      <c r="D96" s="2" t="s">
        <v>84</v>
      </c>
      <c r="E96" s="13">
        <v>6890</v>
      </c>
      <c r="F96" s="2">
        <v>1</v>
      </c>
    </row>
    <row r="97" spans="1:6" x14ac:dyDescent="0.25">
      <c r="A97" s="2">
        <v>96</v>
      </c>
      <c r="B97" s="17">
        <v>43614.655949074076</v>
      </c>
      <c r="C97" s="2" t="s">
        <v>37</v>
      </c>
      <c r="D97" s="2" t="s">
        <v>55</v>
      </c>
      <c r="E97" s="13">
        <v>2398</v>
      </c>
      <c r="F97" s="2">
        <v>1</v>
      </c>
    </row>
    <row r="98" spans="1:6" x14ac:dyDescent="0.25">
      <c r="A98" s="2">
        <v>97</v>
      </c>
      <c r="B98" s="17">
        <v>43614.656273148146</v>
      </c>
      <c r="C98" s="2" t="s">
        <v>37</v>
      </c>
      <c r="D98" s="2" t="s">
        <v>55</v>
      </c>
      <c r="E98" s="13">
        <v>2398</v>
      </c>
      <c r="F98" s="2">
        <v>1</v>
      </c>
    </row>
    <row r="99" spans="1:6" x14ac:dyDescent="0.25">
      <c r="A99" s="2">
        <v>98</v>
      </c>
      <c r="B99" s="17">
        <v>43614.656342592592</v>
      </c>
      <c r="C99" s="2" t="s">
        <v>37</v>
      </c>
      <c r="D99" s="2" t="s">
        <v>55</v>
      </c>
      <c r="E99" s="13">
        <v>2398</v>
      </c>
      <c r="F99" s="2">
        <v>1</v>
      </c>
    </row>
    <row r="100" spans="1:6" x14ac:dyDescent="0.25">
      <c r="A100" s="2">
        <v>99</v>
      </c>
      <c r="B100" s="17">
        <v>43614.657210648147</v>
      </c>
      <c r="C100" s="2" t="s">
        <v>37</v>
      </c>
      <c r="D100" s="2" t="s">
        <v>55</v>
      </c>
      <c r="E100" s="13">
        <v>2398</v>
      </c>
      <c r="F100" s="2">
        <v>2</v>
      </c>
    </row>
    <row r="101" spans="1:6" x14ac:dyDescent="0.25">
      <c r="A101" s="2">
        <v>100</v>
      </c>
      <c r="B101" s="17">
        <v>43614.657754629632</v>
      </c>
      <c r="C101" s="2" t="s">
        <v>37</v>
      </c>
      <c r="D101" s="2" t="s">
        <v>55</v>
      </c>
      <c r="E101" s="13">
        <v>2398</v>
      </c>
      <c r="F101" s="2">
        <v>2</v>
      </c>
    </row>
    <row r="102" spans="1:6" x14ac:dyDescent="0.25">
      <c r="A102" s="2">
        <v>101</v>
      </c>
      <c r="B102" s="17">
        <v>43614.658993055556</v>
      </c>
      <c r="C102" s="2" t="s">
        <v>37</v>
      </c>
      <c r="D102" s="2" t="s">
        <v>55</v>
      </c>
      <c r="E102" s="13">
        <v>2398</v>
      </c>
      <c r="F102" s="2">
        <v>1</v>
      </c>
    </row>
    <row r="103" spans="1:6" x14ac:dyDescent="0.25">
      <c r="A103" s="2">
        <v>102</v>
      </c>
      <c r="B103" s="17">
        <v>43614.659409722219</v>
      </c>
      <c r="C103" s="2" t="s">
        <v>37</v>
      </c>
      <c r="D103" s="2" t="s">
        <v>55</v>
      </c>
      <c r="E103" s="13">
        <v>2398</v>
      </c>
      <c r="F103" s="2">
        <v>1</v>
      </c>
    </row>
    <row r="104" spans="1:6" x14ac:dyDescent="0.25">
      <c r="A104" s="2">
        <v>103</v>
      </c>
      <c r="B104" s="17">
        <v>43614.660011574073</v>
      </c>
      <c r="C104" s="2" t="s">
        <v>37</v>
      </c>
      <c r="D104" s="2" t="s">
        <v>55</v>
      </c>
      <c r="E104" s="13">
        <v>2398</v>
      </c>
      <c r="F104" s="2">
        <v>1</v>
      </c>
    </row>
    <row r="105" spans="1:6" x14ac:dyDescent="0.25">
      <c r="A105" s="2">
        <v>104</v>
      </c>
      <c r="B105" s="17">
        <v>43614.660104166665</v>
      </c>
      <c r="C105" s="2" t="s">
        <v>37</v>
      </c>
      <c r="D105" s="2" t="s">
        <v>55</v>
      </c>
      <c r="E105" s="13">
        <v>2398</v>
      </c>
      <c r="F105" s="2">
        <v>1</v>
      </c>
    </row>
    <row r="106" spans="1:6" x14ac:dyDescent="0.25">
      <c r="A106" s="2">
        <v>105</v>
      </c>
      <c r="B106" s="17">
        <v>43614.660509259258</v>
      </c>
      <c r="C106" s="2" t="s">
        <v>37</v>
      </c>
      <c r="D106" s="2" t="s">
        <v>55</v>
      </c>
      <c r="E106" s="13">
        <v>2398</v>
      </c>
      <c r="F106" s="2">
        <v>1</v>
      </c>
    </row>
    <row r="107" spans="1:6" x14ac:dyDescent="0.25">
      <c r="A107" s="2">
        <v>106</v>
      </c>
      <c r="B107" s="17">
        <v>43614.660601851851</v>
      </c>
      <c r="C107" s="2" t="s">
        <v>37</v>
      </c>
      <c r="D107" s="2" t="s">
        <v>55</v>
      </c>
      <c r="E107" s="13">
        <v>2398</v>
      </c>
      <c r="F107" s="2">
        <v>1</v>
      </c>
    </row>
    <row r="108" spans="1:6" x14ac:dyDescent="0.25">
      <c r="A108" s="2">
        <v>107</v>
      </c>
      <c r="B108" s="17">
        <v>43614.661365740743</v>
      </c>
      <c r="C108" s="2" t="s">
        <v>37</v>
      </c>
      <c r="D108" s="2" t="s">
        <v>55</v>
      </c>
      <c r="E108" s="13">
        <v>2398</v>
      </c>
      <c r="F108" s="2">
        <v>1</v>
      </c>
    </row>
    <row r="109" spans="1:6" x14ac:dyDescent="0.25">
      <c r="A109" s="2">
        <v>108</v>
      </c>
      <c r="B109" s="17">
        <v>43614.661620370367</v>
      </c>
      <c r="C109" s="2" t="s">
        <v>37</v>
      </c>
      <c r="D109" s="2" t="s">
        <v>69</v>
      </c>
      <c r="E109" s="13">
        <v>2099</v>
      </c>
      <c r="F109" s="2">
        <v>2</v>
      </c>
    </row>
    <row r="110" spans="1:6" x14ac:dyDescent="0.25">
      <c r="A110" s="2">
        <v>109</v>
      </c>
      <c r="B110" s="17">
        <v>43614.661620370367</v>
      </c>
      <c r="C110" s="2" t="s">
        <v>38</v>
      </c>
      <c r="D110" s="2" t="s">
        <v>62</v>
      </c>
      <c r="E110" s="13">
        <v>6000</v>
      </c>
      <c r="F110" s="2">
        <v>2</v>
      </c>
    </row>
    <row r="111" spans="1:6" x14ac:dyDescent="0.25">
      <c r="A111" s="2">
        <v>110</v>
      </c>
      <c r="B111" s="17">
        <v>43614.664479166669</v>
      </c>
      <c r="C111" s="2" t="s">
        <v>37</v>
      </c>
      <c r="D111" s="2" t="s">
        <v>55</v>
      </c>
      <c r="E111" s="13">
        <v>2398</v>
      </c>
      <c r="F111" s="2">
        <v>1</v>
      </c>
    </row>
    <row r="112" spans="1:6" x14ac:dyDescent="0.25">
      <c r="A112" s="2">
        <v>111</v>
      </c>
      <c r="B112" s="17">
        <v>43614.669236111113</v>
      </c>
      <c r="C112" s="2" t="s">
        <v>37</v>
      </c>
      <c r="D112" s="2" t="s">
        <v>55</v>
      </c>
      <c r="E112" s="13">
        <v>2398</v>
      </c>
      <c r="F112" s="2">
        <v>1</v>
      </c>
    </row>
    <row r="113" spans="1:6" x14ac:dyDescent="0.25">
      <c r="A113" s="2">
        <v>112</v>
      </c>
      <c r="B113" s="17">
        <v>43614.669652777775</v>
      </c>
      <c r="C113" s="2" t="s">
        <v>85</v>
      </c>
      <c r="D113" s="2" t="s">
        <v>86</v>
      </c>
      <c r="E113" s="13">
        <v>5200</v>
      </c>
      <c r="F113" s="2">
        <v>1</v>
      </c>
    </row>
    <row r="114" spans="1:6" x14ac:dyDescent="0.25">
      <c r="A114" s="2">
        <v>113</v>
      </c>
      <c r="B114" s="17">
        <v>43614.669652777775</v>
      </c>
      <c r="C114" s="2" t="s">
        <v>35</v>
      </c>
      <c r="D114" s="2" t="s">
        <v>36</v>
      </c>
      <c r="E114" s="13">
        <v>6399</v>
      </c>
      <c r="F114" s="2">
        <v>4</v>
      </c>
    </row>
    <row r="115" spans="1:6" x14ac:dyDescent="0.25">
      <c r="A115" s="2">
        <v>114</v>
      </c>
      <c r="B115" s="17">
        <v>43614.669652777775</v>
      </c>
      <c r="C115" s="2" t="s">
        <v>87</v>
      </c>
      <c r="D115" s="2" t="s">
        <v>88</v>
      </c>
      <c r="E115" s="13">
        <v>1800</v>
      </c>
      <c r="F115" s="2">
        <v>4</v>
      </c>
    </row>
    <row r="116" spans="1:6" x14ac:dyDescent="0.25">
      <c r="A116" s="2">
        <v>115</v>
      </c>
      <c r="B116" s="17">
        <v>43614.669652777775</v>
      </c>
      <c r="C116" s="2" t="s">
        <v>83</v>
      </c>
      <c r="D116" s="2" t="s">
        <v>84</v>
      </c>
      <c r="E116" s="13">
        <v>6890</v>
      </c>
      <c r="F116" s="2">
        <v>2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B14"/>
  <sheetViews>
    <sheetView workbookViewId="0">
      <selection activeCell="B24" sqref="B24"/>
    </sheetView>
  </sheetViews>
  <sheetFormatPr defaultRowHeight="15.75" x14ac:dyDescent="0.25"/>
  <cols>
    <col min="1" max="1" width="12.25" style="1" customWidth="1"/>
    <col min="2" max="2" width="16.75" style="1" bestFit="1" customWidth="1"/>
    <col min="3" max="16384" width="9" style="1"/>
  </cols>
  <sheetData>
    <row r="1" spans="1:2" x14ac:dyDescent="0.25">
      <c r="A1" s="40" t="s">
        <v>97</v>
      </c>
      <c r="B1" s="1" t="s">
        <v>96</v>
      </c>
    </row>
    <row r="2" spans="1:2" x14ac:dyDescent="0.25">
      <c r="A2" s="41" t="s">
        <v>42</v>
      </c>
      <c r="B2" s="42">
        <v>28</v>
      </c>
    </row>
    <row r="3" spans="1:2" x14ac:dyDescent="0.25">
      <c r="A3" s="41" t="s">
        <v>59</v>
      </c>
      <c r="B3" s="42">
        <v>12</v>
      </c>
    </row>
    <row r="4" spans="1:2" x14ac:dyDescent="0.25">
      <c r="A4" s="41" t="s">
        <v>91</v>
      </c>
      <c r="B4" s="42">
        <v>16</v>
      </c>
    </row>
    <row r="5" spans="1:2" x14ac:dyDescent="0.25">
      <c r="A5" s="41" t="s">
        <v>86</v>
      </c>
      <c r="B5" s="42">
        <v>20</v>
      </c>
    </row>
    <row r="6" spans="1:2" x14ac:dyDescent="0.25">
      <c r="A6" s="41" t="s">
        <v>55</v>
      </c>
      <c r="B6" s="42">
        <v>64</v>
      </c>
    </row>
    <row r="7" spans="1:2" x14ac:dyDescent="0.25">
      <c r="A7" s="41" t="s">
        <v>69</v>
      </c>
      <c r="B7" s="42">
        <v>28</v>
      </c>
    </row>
    <row r="8" spans="1:2" x14ac:dyDescent="0.25">
      <c r="A8" s="41" t="s">
        <v>36</v>
      </c>
      <c r="B8" s="42">
        <v>9</v>
      </c>
    </row>
    <row r="9" spans="1:2" x14ac:dyDescent="0.25">
      <c r="A9" s="41" t="s">
        <v>62</v>
      </c>
      <c r="B9" s="42">
        <v>59</v>
      </c>
    </row>
    <row r="10" spans="1:2" x14ac:dyDescent="0.25">
      <c r="A10" s="41" t="s">
        <v>40</v>
      </c>
      <c r="B10" s="42">
        <v>23</v>
      </c>
    </row>
    <row r="11" spans="1:2" x14ac:dyDescent="0.25">
      <c r="A11" s="41" t="s">
        <v>78</v>
      </c>
      <c r="B11" s="42">
        <v>10</v>
      </c>
    </row>
    <row r="12" spans="1:2" x14ac:dyDescent="0.25">
      <c r="A12" s="41" t="s">
        <v>88</v>
      </c>
      <c r="B12" s="42">
        <v>49</v>
      </c>
    </row>
    <row r="13" spans="1:2" x14ac:dyDescent="0.25">
      <c r="A13" s="41" t="s">
        <v>84</v>
      </c>
      <c r="B13" s="42">
        <v>15</v>
      </c>
    </row>
    <row r="14" spans="1:2" x14ac:dyDescent="0.25">
      <c r="A14" s="41" t="s">
        <v>98</v>
      </c>
      <c r="B14" s="42">
        <v>333</v>
      </c>
    </row>
  </sheetData>
  <phoneticPr fontId="1" type="noConversion"/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F23"/>
  <sheetViews>
    <sheetView showGridLines="0" zoomScale="120" zoomScaleNormal="120" workbookViewId="0">
      <selection activeCell="K18" sqref="K18"/>
    </sheetView>
  </sheetViews>
  <sheetFormatPr defaultRowHeight="15.75" x14ac:dyDescent="0.25"/>
  <cols>
    <col min="1" max="1" width="6.5" style="18" bestFit="1" customWidth="1"/>
    <col min="2" max="2" width="14.875" style="18" bestFit="1" customWidth="1"/>
    <col min="3" max="3" width="8.375" style="18" bestFit="1" customWidth="1"/>
    <col min="4" max="4" width="15" style="18" bestFit="1" customWidth="1"/>
    <col min="5" max="5" width="13" style="18" bestFit="1" customWidth="1"/>
    <col min="6" max="6" width="2.75" style="18" customWidth="1"/>
    <col min="7" max="16384" width="9" style="18"/>
  </cols>
  <sheetData>
    <row r="1" spans="1:6" ht="16.5" x14ac:dyDescent="0.25">
      <c r="A1" s="44" t="s">
        <v>44</v>
      </c>
      <c r="B1" s="45"/>
      <c r="C1" s="45"/>
      <c r="D1" s="45"/>
      <c r="E1" s="45"/>
      <c r="F1" s="24"/>
    </row>
    <row r="2" spans="1:6" ht="16.5" x14ac:dyDescent="0.25">
      <c r="A2" s="46" t="s">
        <v>50</v>
      </c>
      <c r="B2" s="47"/>
      <c r="C2" s="47"/>
      <c r="D2" s="47"/>
      <c r="E2" s="47"/>
      <c r="F2" s="25"/>
    </row>
    <row r="3" spans="1:6" x14ac:dyDescent="0.25">
      <c r="A3" s="26"/>
      <c r="B3" s="27"/>
      <c r="C3" s="27"/>
      <c r="D3" s="27"/>
      <c r="E3" s="27"/>
      <c r="F3" s="28"/>
    </row>
    <row r="4" spans="1:6" x14ac:dyDescent="0.25">
      <c r="A4" s="29"/>
      <c r="B4" s="23" t="s">
        <v>47</v>
      </c>
      <c r="C4" s="30"/>
      <c r="D4" s="39">
        <v>43614.669652777775</v>
      </c>
      <c r="E4" s="31"/>
      <c r="F4" s="25"/>
    </row>
    <row r="5" spans="1:6" x14ac:dyDescent="0.25">
      <c r="A5" s="29"/>
      <c r="B5" s="23"/>
      <c r="C5" s="23"/>
      <c r="D5" s="23"/>
      <c r="E5" s="31"/>
      <c r="F5" s="25"/>
    </row>
    <row r="6" spans="1:6" x14ac:dyDescent="0.25">
      <c r="A6" s="19" t="s">
        <v>49</v>
      </c>
      <c r="B6" s="19" t="s">
        <v>46</v>
      </c>
      <c r="C6" s="19" t="s">
        <v>43</v>
      </c>
      <c r="D6" s="22" t="s">
        <v>45</v>
      </c>
      <c r="E6" s="22" t="s">
        <v>89</v>
      </c>
      <c r="F6" s="32"/>
    </row>
    <row r="7" spans="1:6" x14ac:dyDescent="0.25">
      <c r="A7" s="20">
        <v>1</v>
      </c>
      <c r="B7" s="20" t="s">
        <v>86</v>
      </c>
      <c r="C7" s="20">
        <v>1</v>
      </c>
      <c r="D7" s="21">
        <v>5200</v>
      </c>
      <c r="E7" s="21">
        <f>IF($C7="","",$C7*$D7)</f>
        <v>5200</v>
      </c>
      <c r="F7" s="32"/>
    </row>
    <row r="8" spans="1:6" x14ac:dyDescent="0.25">
      <c r="A8" s="20">
        <v>2</v>
      </c>
      <c r="B8" s="20" t="s">
        <v>36</v>
      </c>
      <c r="C8" s="20">
        <v>4</v>
      </c>
      <c r="D8" s="21">
        <v>6399</v>
      </c>
      <c r="E8" s="21">
        <f t="shared" ref="E8:E20" si="0">IF($C8="","",$C8*$D8)</f>
        <v>25596</v>
      </c>
      <c r="F8" s="32"/>
    </row>
    <row r="9" spans="1:6" x14ac:dyDescent="0.25">
      <c r="A9" s="20">
        <v>3</v>
      </c>
      <c r="B9" s="20" t="s">
        <v>88</v>
      </c>
      <c r="C9" s="20">
        <v>4</v>
      </c>
      <c r="D9" s="21">
        <v>1800</v>
      </c>
      <c r="E9" s="21">
        <f t="shared" si="0"/>
        <v>7200</v>
      </c>
      <c r="F9" s="32"/>
    </row>
    <row r="10" spans="1:6" x14ac:dyDescent="0.25">
      <c r="A10" s="20">
        <v>4</v>
      </c>
      <c r="B10" s="20" t="s">
        <v>84</v>
      </c>
      <c r="C10" s="20">
        <v>2</v>
      </c>
      <c r="D10" s="21">
        <v>6890</v>
      </c>
      <c r="E10" s="21">
        <f t="shared" si="0"/>
        <v>13780</v>
      </c>
      <c r="F10" s="32"/>
    </row>
    <row r="11" spans="1:6" x14ac:dyDescent="0.25">
      <c r="A11" s="20"/>
      <c r="B11" s="20"/>
      <c r="C11" s="20"/>
      <c r="D11" s="21"/>
      <c r="E11" s="21" t="str">
        <f t="shared" si="0"/>
        <v/>
      </c>
      <c r="F11" s="32"/>
    </row>
    <row r="12" spans="1:6" x14ac:dyDescent="0.25">
      <c r="A12" s="20"/>
      <c r="B12" s="20"/>
      <c r="C12" s="20"/>
      <c r="D12" s="21"/>
      <c r="E12" s="21" t="str">
        <f t="shared" si="0"/>
        <v/>
      </c>
      <c r="F12" s="32"/>
    </row>
    <row r="13" spans="1:6" x14ac:dyDescent="0.25">
      <c r="A13" s="20"/>
      <c r="B13" s="20"/>
      <c r="C13" s="20"/>
      <c r="D13" s="21"/>
      <c r="E13" s="21" t="str">
        <f t="shared" si="0"/>
        <v/>
      </c>
      <c r="F13" s="32"/>
    </row>
    <row r="14" spans="1:6" x14ac:dyDescent="0.25">
      <c r="A14" s="20"/>
      <c r="B14" s="20"/>
      <c r="C14" s="20"/>
      <c r="D14" s="21"/>
      <c r="E14" s="21" t="str">
        <f t="shared" si="0"/>
        <v/>
      </c>
      <c r="F14" s="32"/>
    </row>
    <row r="15" spans="1:6" x14ac:dyDescent="0.25">
      <c r="A15" s="20"/>
      <c r="B15" s="20"/>
      <c r="C15" s="20"/>
      <c r="D15" s="21"/>
      <c r="E15" s="21" t="str">
        <f t="shared" si="0"/>
        <v/>
      </c>
      <c r="F15" s="32"/>
    </row>
    <row r="16" spans="1:6" x14ac:dyDescent="0.25">
      <c r="A16" s="20"/>
      <c r="B16" s="20"/>
      <c r="C16" s="20"/>
      <c r="D16" s="21"/>
      <c r="E16" s="21" t="str">
        <f t="shared" si="0"/>
        <v/>
      </c>
      <c r="F16" s="32"/>
    </row>
    <row r="17" spans="1:6" x14ac:dyDescent="0.25">
      <c r="A17" s="20"/>
      <c r="B17" s="20"/>
      <c r="C17" s="20"/>
      <c r="D17" s="21"/>
      <c r="E17" s="21" t="str">
        <f t="shared" si="0"/>
        <v/>
      </c>
      <c r="F17" s="32"/>
    </row>
    <row r="18" spans="1:6" x14ac:dyDescent="0.25">
      <c r="A18" s="20"/>
      <c r="B18" s="20"/>
      <c r="C18" s="20"/>
      <c r="D18" s="21"/>
      <c r="E18" s="21" t="str">
        <f t="shared" si="0"/>
        <v/>
      </c>
      <c r="F18" s="32"/>
    </row>
    <row r="19" spans="1:6" x14ac:dyDescent="0.25">
      <c r="A19" s="20"/>
      <c r="B19" s="20"/>
      <c r="C19" s="20"/>
      <c r="D19" s="21"/>
      <c r="E19" s="21" t="str">
        <f t="shared" si="0"/>
        <v/>
      </c>
      <c r="F19" s="32"/>
    </row>
    <row r="20" spans="1:6" x14ac:dyDescent="0.25">
      <c r="A20" s="20"/>
      <c r="B20" s="20"/>
      <c r="C20" s="20"/>
      <c r="D20" s="21"/>
      <c r="E20" s="21" t="str">
        <f t="shared" si="0"/>
        <v/>
      </c>
      <c r="F20" s="32"/>
    </row>
    <row r="21" spans="1:6" x14ac:dyDescent="0.25">
      <c r="A21" s="33"/>
      <c r="B21" s="31"/>
      <c r="C21" s="31"/>
      <c r="D21" s="31"/>
      <c r="E21" s="31"/>
      <c r="F21" s="25"/>
    </row>
    <row r="22" spans="1:6" x14ac:dyDescent="0.25">
      <c r="A22" s="34"/>
      <c r="B22" s="35"/>
      <c r="C22" s="23"/>
      <c r="D22" s="20" t="s">
        <v>48</v>
      </c>
      <c r="E22" s="21">
        <f>SUM($E7:$E20)</f>
        <v>51776</v>
      </c>
      <c r="F22" s="32"/>
    </row>
    <row r="23" spans="1:6" x14ac:dyDescent="0.25">
      <c r="A23" s="36"/>
      <c r="B23" s="37"/>
      <c r="C23" s="37"/>
      <c r="D23" s="37"/>
      <c r="E23" s="37"/>
      <c r="F23" s="38"/>
    </row>
  </sheetData>
  <mergeCells count="2">
    <mergeCell ref="A1:E1"/>
    <mergeCell ref="A2:E2"/>
  </mergeCells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D38"/>
  <sheetViews>
    <sheetView workbookViewId="0">
      <pane ySplit="1" topLeftCell="A2" activePane="bottomLeft" state="frozen"/>
      <selection pane="bottomLeft" activeCell="D26" sqref="D26"/>
    </sheetView>
  </sheetViews>
  <sheetFormatPr defaultRowHeight="13.5" x14ac:dyDescent="0.25"/>
  <cols>
    <col min="1" max="1" width="15.625" style="2" bestFit="1" customWidth="1"/>
    <col min="2" max="2" width="45.875" style="2" bestFit="1" customWidth="1"/>
    <col min="3" max="3" width="7.25" style="2" bestFit="1" customWidth="1"/>
    <col min="4" max="4" width="61.75" style="2" bestFit="1" customWidth="1"/>
    <col min="5" max="16384" width="9" style="2"/>
  </cols>
  <sheetData>
    <row r="1" spans="1:4" x14ac:dyDescent="0.25">
      <c r="A1" s="3" t="s">
        <v>14</v>
      </c>
      <c r="B1" s="3" t="s">
        <v>15</v>
      </c>
      <c r="C1" s="3" t="s">
        <v>16</v>
      </c>
      <c r="D1" s="3" t="s">
        <v>100</v>
      </c>
    </row>
    <row r="2" spans="1:4" s="16" customFormat="1" x14ac:dyDescent="0.25">
      <c r="A2" s="16" t="s">
        <v>23</v>
      </c>
      <c r="B2" s="16" t="s">
        <v>24</v>
      </c>
      <c r="C2" s="15" t="s">
        <v>25</v>
      </c>
    </row>
    <row r="3" spans="1:4" x14ac:dyDescent="0.25">
      <c r="A3" s="2" t="s">
        <v>21</v>
      </c>
      <c r="B3" s="2" t="s">
        <v>22</v>
      </c>
      <c r="C3" s="14" t="s">
        <v>99</v>
      </c>
      <c r="D3" s="2" t="s">
        <v>101</v>
      </c>
    </row>
    <row r="4" spans="1:4" x14ac:dyDescent="0.25">
      <c r="C4" s="16"/>
    </row>
    <row r="5" spans="1:4" x14ac:dyDescent="0.25">
      <c r="A5" s="2" t="s">
        <v>110</v>
      </c>
      <c r="B5" s="2" t="s">
        <v>81</v>
      </c>
      <c r="C5" s="15" t="s">
        <v>25</v>
      </c>
    </row>
    <row r="6" spans="1:4" x14ac:dyDescent="0.25">
      <c r="A6" s="2" t="s">
        <v>110</v>
      </c>
      <c r="B6" s="2" t="s">
        <v>92</v>
      </c>
      <c r="C6" s="15" t="s">
        <v>34</v>
      </c>
    </row>
    <row r="7" spans="1:4" x14ac:dyDescent="0.25">
      <c r="A7" s="2" t="s">
        <v>113</v>
      </c>
      <c r="B7" s="2" t="s">
        <v>111</v>
      </c>
      <c r="C7" s="15" t="s">
        <v>114</v>
      </c>
    </row>
    <row r="8" spans="1:4" x14ac:dyDescent="0.25">
      <c r="C8" s="16"/>
    </row>
    <row r="9" spans="1:4" x14ac:dyDescent="0.25">
      <c r="A9" s="2" t="s">
        <v>117</v>
      </c>
      <c r="B9" s="2" t="s">
        <v>26</v>
      </c>
      <c r="C9" s="15" t="s">
        <v>25</v>
      </c>
      <c r="D9" s="2" t="s">
        <v>106</v>
      </c>
    </row>
    <row r="10" spans="1:4" x14ac:dyDescent="0.25">
      <c r="C10" s="16"/>
    </row>
    <row r="11" spans="1:4" x14ac:dyDescent="0.25">
      <c r="A11" s="2" t="s">
        <v>118</v>
      </c>
      <c r="B11" s="2" t="s">
        <v>104</v>
      </c>
      <c r="C11" s="15" t="s">
        <v>34</v>
      </c>
    </row>
    <row r="12" spans="1:4" x14ac:dyDescent="0.25">
      <c r="A12" s="2" t="s">
        <v>118</v>
      </c>
      <c r="B12" s="2" t="s">
        <v>103</v>
      </c>
      <c r="C12" s="15" t="s">
        <v>34</v>
      </c>
    </row>
    <row r="13" spans="1:4" x14ac:dyDescent="0.25">
      <c r="A13" s="2" t="s">
        <v>118</v>
      </c>
      <c r="B13" s="2" t="s">
        <v>82</v>
      </c>
      <c r="C13" s="15" t="s">
        <v>25</v>
      </c>
    </row>
    <row r="14" spans="1:4" x14ac:dyDescent="0.25">
      <c r="A14" s="2" t="s">
        <v>115</v>
      </c>
      <c r="B14" s="2" t="s">
        <v>112</v>
      </c>
      <c r="C14" s="15" t="s">
        <v>34</v>
      </c>
    </row>
    <row r="15" spans="1:4" x14ac:dyDescent="0.25">
      <c r="A15" s="2" t="s">
        <v>115</v>
      </c>
      <c r="B15" s="2" t="s">
        <v>131</v>
      </c>
      <c r="C15" s="15" t="s">
        <v>34</v>
      </c>
    </row>
    <row r="16" spans="1:4" x14ac:dyDescent="0.25">
      <c r="C16" s="16"/>
    </row>
    <row r="17" spans="1:3" x14ac:dyDescent="0.25">
      <c r="A17" s="2" t="s">
        <v>105</v>
      </c>
      <c r="B17" s="2" t="s">
        <v>107</v>
      </c>
      <c r="C17" s="15" t="s">
        <v>25</v>
      </c>
    </row>
    <row r="18" spans="1:3" x14ac:dyDescent="0.25">
      <c r="A18" s="2" t="s">
        <v>105</v>
      </c>
      <c r="B18" s="2" t="s">
        <v>123</v>
      </c>
      <c r="C18" s="15" t="s">
        <v>25</v>
      </c>
    </row>
    <row r="19" spans="1:3" x14ac:dyDescent="0.25">
      <c r="C19" s="16"/>
    </row>
    <row r="20" spans="1:3" x14ac:dyDescent="0.25">
      <c r="A20" s="2" t="s">
        <v>116</v>
      </c>
      <c r="B20" s="2" t="s">
        <v>27</v>
      </c>
      <c r="C20" s="15" t="s">
        <v>34</v>
      </c>
    </row>
    <row r="21" spans="1:3" x14ac:dyDescent="0.25">
      <c r="A21" s="2" t="s">
        <v>116</v>
      </c>
      <c r="B21" s="2" t="s">
        <v>52</v>
      </c>
      <c r="C21" s="14" t="s">
        <v>133</v>
      </c>
    </row>
    <row r="22" spans="1:3" x14ac:dyDescent="0.25">
      <c r="A22" s="2" t="s">
        <v>116</v>
      </c>
      <c r="B22" s="2" t="s">
        <v>108</v>
      </c>
      <c r="C22" s="15" t="s">
        <v>25</v>
      </c>
    </row>
    <row r="23" spans="1:3" x14ac:dyDescent="0.25">
      <c r="A23" s="2" t="s">
        <v>116</v>
      </c>
      <c r="B23" s="2" t="s">
        <v>109</v>
      </c>
      <c r="C23" s="43" t="s">
        <v>130</v>
      </c>
    </row>
    <row r="24" spans="1:3" x14ac:dyDescent="0.25">
      <c r="A24" s="2" t="s">
        <v>116</v>
      </c>
      <c r="B24" s="2" t="s">
        <v>71</v>
      </c>
      <c r="C24" s="15" t="s">
        <v>25</v>
      </c>
    </row>
    <row r="25" spans="1:3" x14ac:dyDescent="0.25">
      <c r="A25" s="2" t="s">
        <v>116</v>
      </c>
      <c r="B25" s="2" t="s">
        <v>129</v>
      </c>
      <c r="C25" s="15" t="s">
        <v>25</v>
      </c>
    </row>
    <row r="26" spans="1:3" x14ac:dyDescent="0.25">
      <c r="A26" s="2" t="s">
        <v>116</v>
      </c>
      <c r="B26" s="2" t="s">
        <v>132</v>
      </c>
      <c r="C26" s="15" t="s">
        <v>25</v>
      </c>
    </row>
    <row r="28" spans="1:3" x14ac:dyDescent="0.25">
      <c r="A28" s="2" t="s">
        <v>120</v>
      </c>
      <c r="B28" s="2" t="s">
        <v>119</v>
      </c>
      <c r="C28" s="15" t="s">
        <v>34</v>
      </c>
    </row>
    <row r="29" spans="1:3" x14ac:dyDescent="0.25">
      <c r="A29" s="2" t="s">
        <v>120</v>
      </c>
      <c r="B29" s="2" t="s">
        <v>121</v>
      </c>
      <c r="C29" s="15" t="s">
        <v>34</v>
      </c>
    </row>
    <row r="30" spans="1:3" x14ac:dyDescent="0.25">
      <c r="A30" s="2" t="s">
        <v>120</v>
      </c>
      <c r="B30" s="2" t="s">
        <v>122</v>
      </c>
      <c r="C30" s="15" t="s">
        <v>34</v>
      </c>
    </row>
    <row r="31" spans="1:3" x14ac:dyDescent="0.25">
      <c r="C31" s="16"/>
    </row>
    <row r="32" spans="1:3" x14ac:dyDescent="0.25">
      <c r="A32" s="2" t="s">
        <v>127</v>
      </c>
      <c r="B32" s="2" t="s">
        <v>126</v>
      </c>
      <c r="C32" s="15" t="s">
        <v>34</v>
      </c>
    </row>
    <row r="33" spans="1:3" x14ac:dyDescent="0.25">
      <c r="A33" s="2" t="s">
        <v>128</v>
      </c>
      <c r="B33" s="2" t="s">
        <v>125</v>
      </c>
      <c r="C33" s="14" t="s">
        <v>102</v>
      </c>
    </row>
    <row r="35" spans="1:3" x14ac:dyDescent="0.25">
      <c r="A35" s="2" t="s">
        <v>33</v>
      </c>
      <c r="B35" s="2" t="s">
        <v>93</v>
      </c>
      <c r="C35" s="14" t="s">
        <v>102</v>
      </c>
    </row>
    <row r="37" spans="1:3" x14ac:dyDescent="0.25">
      <c r="A37" s="2" t="s">
        <v>94</v>
      </c>
      <c r="B37" s="2" t="s">
        <v>124</v>
      </c>
      <c r="C37" s="14" t="s">
        <v>102</v>
      </c>
    </row>
    <row r="38" spans="1:3" x14ac:dyDescent="0.25">
      <c r="A38" s="2" t="s">
        <v>94</v>
      </c>
      <c r="B38" s="2" t="s">
        <v>95</v>
      </c>
      <c r="C38" s="14" t="s">
        <v>102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1</vt:i4>
      </vt:variant>
    </vt:vector>
  </HeadingPairs>
  <TitlesOfParts>
    <vt:vector size="7" baseType="lpstr">
      <vt:lpstr>Config</vt:lpstr>
      <vt:lpstr>Item</vt:lpstr>
      <vt:lpstr>Record</vt:lpstr>
      <vt:lpstr>Analysis</vt:lpstr>
      <vt:lpstr>Memo</vt:lpstr>
      <vt:lpstr>Log</vt:lpstr>
      <vt:lpstr>Memo!Print_Area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2019-05-29T08:04:48Z</dcterms:modified>
</cp:coreProperties>
</file>