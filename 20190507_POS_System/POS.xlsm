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5"/>
  </bookViews>
  <sheets>
    <sheet name="Config" sheetId="1" r:id="rId1"/>
    <sheet name="Item" sheetId="2" r:id="rId2"/>
    <sheet name="Record" sheetId="3" r:id="rId3"/>
    <sheet name="Analysis" sheetId="4" r:id="rId4"/>
    <sheet name="Memo" sheetId="6" r:id="rId5"/>
    <sheet name="Log" sheetId="5" r:id="rId6"/>
  </sheets>
  <definedNames>
    <definedName name="_xlnm.Print_Area" localSheetId="4">Memo!$A$1:$F$23</definedName>
  </definedNames>
  <calcPr calcId="152511"/>
</workbook>
</file>

<file path=xl/calcChain.xml><?xml version="1.0" encoding="utf-8"?>
<calcChain xmlns="http://schemas.openxmlformats.org/spreadsheetml/2006/main">
  <c r="E8" i="6" l="1"/>
  <c r="E9" i="6"/>
  <c r="E10" i="6"/>
  <c r="E11" i="6"/>
  <c r="E12" i="6"/>
  <c r="E13" i="6"/>
  <c r="E14" i="6"/>
  <c r="E15" i="6"/>
  <c r="E16" i="6"/>
  <c r="E17" i="6"/>
  <c r="E18" i="6"/>
  <c r="E19" i="6"/>
  <c r="E20" i="6"/>
  <c r="E7" i="6"/>
  <c r="E22" i="6" l="1"/>
</calcChain>
</file>

<file path=xl/sharedStrings.xml><?xml version="1.0" encoding="utf-8"?>
<sst xmlns="http://schemas.openxmlformats.org/spreadsheetml/2006/main" count="176" uniqueCount="112">
  <si>
    <t>Item</t>
    <phoneticPr fontId="1" type="noConversion"/>
  </si>
  <si>
    <t>Description</t>
    <phoneticPr fontId="1" type="noConversion"/>
  </si>
  <si>
    <t>Price</t>
    <phoneticPr fontId="1" type="noConversion"/>
  </si>
  <si>
    <t>Category</t>
    <phoneticPr fontId="1" type="noConversion"/>
  </si>
  <si>
    <t>Ticket ID</t>
    <phoneticPr fontId="1" type="noConversion"/>
  </si>
  <si>
    <t>Trade Time</t>
    <phoneticPr fontId="1" type="noConversion"/>
  </si>
  <si>
    <t>ID</t>
    <phoneticPr fontId="1" type="noConversion"/>
  </si>
  <si>
    <t>Item ID</t>
    <phoneticPr fontId="1" type="noConversion"/>
  </si>
  <si>
    <t>Quantity</t>
    <phoneticPr fontId="1" type="noConversion"/>
  </si>
  <si>
    <t>Parameter</t>
    <phoneticPr fontId="1" type="noConversion"/>
  </si>
  <si>
    <t>Value</t>
    <phoneticPr fontId="1" type="noConversion"/>
  </si>
  <si>
    <t>Remark</t>
    <phoneticPr fontId="1" type="noConversion"/>
  </si>
  <si>
    <t>iPhone XS</t>
    <phoneticPr fontId="1" type="noConversion"/>
  </si>
  <si>
    <t>Mobile</t>
    <phoneticPr fontId="1" type="noConversion"/>
  </si>
  <si>
    <t>Function</t>
    <phoneticPr fontId="1" type="noConversion"/>
  </si>
  <si>
    <t>Description</t>
    <phoneticPr fontId="1" type="noConversion"/>
  </si>
  <si>
    <t>Status</t>
    <phoneticPr fontId="1" type="noConversion"/>
  </si>
  <si>
    <t>Apple TV</t>
    <phoneticPr fontId="1" type="noConversion"/>
  </si>
  <si>
    <t xml:space="preserve">
Electrical Appliances</t>
    <phoneticPr fontId="1" type="noConversion"/>
  </si>
  <si>
    <t>iPad</t>
    <phoneticPr fontId="1" type="noConversion"/>
  </si>
  <si>
    <t>Quantity in 
Warehouse</t>
    <phoneticPr fontId="1" type="noConversion"/>
  </si>
  <si>
    <t>Userform</t>
    <phoneticPr fontId="1" type="noConversion"/>
  </si>
  <si>
    <t>Auto Generated Userform</t>
    <phoneticPr fontId="1" type="noConversion"/>
  </si>
  <si>
    <t>Develop</t>
    <phoneticPr fontId="1" type="noConversion"/>
  </si>
  <si>
    <t>Pend in this phase due to many limitation.</t>
    <phoneticPr fontId="1" type="noConversion"/>
  </si>
  <si>
    <t>Develop</t>
    <phoneticPr fontId="1" type="noConversion"/>
  </si>
  <si>
    <t>Userform</t>
    <phoneticPr fontId="1" type="noConversion"/>
  </si>
  <si>
    <t>Normal Userform</t>
    <phoneticPr fontId="1" type="noConversion"/>
  </si>
  <si>
    <t>OK</t>
    <phoneticPr fontId="1" type="noConversion"/>
  </si>
  <si>
    <t>Input</t>
    <phoneticPr fontId="1" type="noConversion"/>
  </si>
  <si>
    <t>Quantity with Checking</t>
    <phoneticPr fontId="1" type="noConversion"/>
  </si>
  <si>
    <t>Confirm</t>
    <phoneticPr fontId="1" type="noConversion"/>
  </si>
  <si>
    <t>Confirmation Process</t>
    <phoneticPr fontId="1" type="noConversion"/>
  </si>
  <si>
    <t>Memo</t>
    <phoneticPr fontId="1" type="noConversion"/>
  </si>
  <si>
    <t>Item</t>
    <phoneticPr fontId="1" type="noConversion"/>
  </si>
  <si>
    <t>Record</t>
    <phoneticPr fontId="1" type="noConversion"/>
  </si>
  <si>
    <t>Pend. No Checking in this moment</t>
    <phoneticPr fontId="1" type="noConversion"/>
  </si>
  <si>
    <t>M1</t>
    <phoneticPr fontId="1" type="noConversion"/>
  </si>
  <si>
    <t>M2</t>
    <phoneticPr fontId="1" type="noConversion"/>
  </si>
  <si>
    <t>M3</t>
    <phoneticPr fontId="1" type="noConversion"/>
  </si>
  <si>
    <t>E1</t>
    <phoneticPr fontId="1" type="noConversion"/>
  </si>
  <si>
    <t>E2</t>
    <phoneticPr fontId="1" type="noConversion"/>
  </si>
  <si>
    <t>Develop</t>
    <phoneticPr fontId="1" type="noConversion"/>
  </si>
  <si>
    <t>Logging</t>
    <phoneticPr fontId="1" type="noConversion"/>
  </si>
  <si>
    <t>OK</t>
    <phoneticPr fontId="1" type="noConversion"/>
  </si>
  <si>
    <t xml:space="preserve">Get the input and Display the Record </t>
    <phoneticPr fontId="1" type="noConversion"/>
  </si>
  <si>
    <t>E2</t>
  </si>
  <si>
    <t>iPad</t>
  </si>
  <si>
    <t>M3</t>
  </si>
  <si>
    <t>M2</t>
  </si>
  <si>
    <t>Develop</t>
    <phoneticPr fontId="1" type="noConversion"/>
  </si>
  <si>
    <t>M1</t>
  </si>
  <si>
    <t>iPhone XS</t>
  </si>
  <si>
    <t>E1</t>
  </si>
  <si>
    <t>Apple TV</t>
  </si>
  <si>
    <t>Quantity</t>
    <phoneticPr fontId="6" type="noConversion"/>
  </si>
  <si>
    <t>XXX Company</t>
    <phoneticPr fontId="6" type="noConversion"/>
  </si>
  <si>
    <t>Amount</t>
    <phoneticPr fontId="6" type="noConversion"/>
  </si>
  <si>
    <t>Item</t>
    <phoneticPr fontId="6" type="noConversion"/>
  </si>
  <si>
    <t>Datetime</t>
    <phoneticPr fontId="6" type="noConversion"/>
  </si>
  <si>
    <t>Total</t>
    <phoneticPr fontId="1" type="noConversion"/>
  </si>
  <si>
    <t>No.</t>
    <phoneticPr fontId="6" type="noConversion"/>
  </si>
  <si>
    <t>Receipt</t>
    <phoneticPr fontId="6" type="noConversion"/>
  </si>
  <si>
    <t>Logging.txt</t>
    <phoneticPr fontId="1" type="noConversion"/>
  </si>
  <si>
    <t>Price</t>
    <phoneticPr fontId="1" type="noConversion"/>
  </si>
  <si>
    <t>Analysis</t>
    <phoneticPr fontId="1" type="noConversion"/>
  </si>
  <si>
    <t>Develop</t>
    <phoneticPr fontId="1" type="noConversion"/>
  </si>
  <si>
    <t>Again Button</t>
    <phoneticPr fontId="1" type="noConversion"/>
  </si>
  <si>
    <t>Userform</t>
    <phoneticPr fontId="1" type="noConversion"/>
  </si>
  <si>
    <t>C1</t>
  </si>
  <si>
    <t>C1</t>
    <phoneticPr fontId="1" type="noConversion"/>
  </si>
  <si>
    <t>Galaxy S8</t>
  </si>
  <si>
    <t>Galaxy S8</t>
    <phoneticPr fontId="1" type="noConversion"/>
  </si>
  <si>
    <t>Camera</t>
    <phoneticPr fontId="1" type="noConversion"/>
  </si>
  <si>
    <t>C2</t>
    <phoneticPr fontId="1" type="noConversion"/>
  </si>
  <si>
    <t>Canon 6D</t>
  </si>
  <si>
    <t>Canon 6D</t>
    <phoneticPr fontId="1" type="noConversion"/>
  </si>
  <si>
    <t>Sony A7</t>
    <phoneticPr fontId="1" type="noConversion"/>
  </si>
  <si>
    <t>iPhone X</t>
  </si>
  <si>
    <t>iPhone X</t>
    <phoneticPr fontId="1" type="noConversion"/>
  </si>
  <si>
    <t>O1</t>
    <phoneticPr fontId="1" type="noConversion"/>
  </si>
  <si>
    <t>O2</t>
    <phoneticPr fontId="1" type="noConversion"/>
  </si>
  <si>
    <t>Seiko MM</t>
    <phoneticPr fontId="1" type="noConversion"/>
  </si>
  <si>
    <t>Other</t>
    <phoneticPr fontId="1" type="noConversion"/>
  </si>
  <si>
    <t>DOXA Shark</t>
    <phoneticPr fontId="1" type="noConversion"/>
  </si>
  <si>
    <t>Huawai P30</t>
  </si>
  <si>
    <t>Huawai P30</t>
    <phoneticPr fontId="1" type="noConversion"/>
  </si>
  <si>
    <t>Auto Calcuation on Total Quantity, Amount, Inventory</t>
    <phoneticPr fontId="1" type="noConversion"/>
  </si>
  <si>
    <t>Fruit</t>
    <phoneticPr fontId="1" type="noConversion"/>
  </si>
  <si>
    <t>F1</t>
    <phoneticPr fontId="1" type="noConversion"/>
  </si>
  <si>
    <t>F2</t>
  </si>
  <si>
    <t>F2</t>
    <phoneticPr fontId="1" type="noConversion"/>
  </si>
  <si>
    <t>F3</t>
    <phoneticPr fontId="1" type="noConversion"/>
  </si>
  <si>
    <t>Orange</t>
    <phoneticPr fontId="1" type="noConversion"/>
  </si>
  <si>
    <t>Mango</t>
  </si>
  <si>
    <t>Mango</t>
    <phoneticPr fontId="1" type="noConversion"/>
  </si>
  <si>
    <t>Cherry</t>
    <phoneticPr fontId="1" type="noConversion"/>
  </si>
  <si>
    <t>Next Page (How to handle cart item in different page)</t>
    <phoneticPr fontId="1" type="noConversion"/>
  </si>
  <si>
    <t>Input</t>
    <phoneticPr fontId="1" type="noConversion"/>
  </si>
  <si>
    <t>CartList Section</t>
    <phoneticPr fontId="1" type="noConversion"/>
  </si>
  <si>
    <t>C2</t>
  </si>
  <si>
    <t>Sony A7</t>
  </si>
  <si>
    <t>O2</t>
  </si>
  <si>
    <t>DOXA Shark</t>
  </si>
  <si>
    <t>O1</t>
  </si>
  <si>
    <t>Seiko MM</t>
  </si>
  <si>
    <t>Total Amount</t>
    <phoneticPr fontId="6" type="noConversion"/>
  </si>
  <si>
    <t>F3</t>
  </si>
  <si>
    <t>Cherry</t>
  </si>
  <si>
    <t>Bug</t>
    <phoneticPr fontId="1" type="noConversion"/>
  </si>
  <si>
    <t>Userform</t>
    <phoneticPr fontId="1" type="noConversion"/>
  </si>
  <si>
    <t>Null Record Handling for Listbox and ItemList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</si>
</sst>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_-[$$-404]* #,##0.00_-;\-[$$-404]* #,##0.00_-;_-[$$-404]* &quot;-&quot;??_-;_-@_-"/>
  </numFmts>
  <fonts count="8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9"/>
      <name val="新細明體"/>
      <family val="2"/>
      <charset val="136"/>
      <scheme val="minor"/>
    </font>
    <font>
      <b/>
      <sz val="12"/>
      <color theme="1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3" fillId="0" borderId="0" xfId="0" applyFont="1" applyAlignment="1"/>
    <xf numFmtId="176" fontId="3" fillId="0" borderId="0" xfId="0" applyNumberFormat="1" applyFont="1"/>
    <xf numFmtId="0" fontId="3" fillId="2" borderId="0" xfId="0" applyFont="1" applyFill="1" applyAlignment="1">
      <alignment vertical="center"/>
    </xf>
    <xf numFmtId="176" fontId="3" fillId="2" borderId="0" xfId="0" applyNumberFormat="1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177" fontId="3" fillId="2" borderId="0" xfId="0" applyNumberFormat="1" applyFont="1" applyFill="1" applyAlignment="1">
      <alignment vertical="center"/>
    </xf>
    <xf numFmtId="177" fontId="3" fillId="0" borderId="0" xfId="0" applyNumberFormat="1" applyFont="1"/>
    <xf numFmtId="0" fontId="3" fillId="3" borderId="0" xfId="0" applyFont="1" applyFill="1"/>
    <xf numFmtId="0" fontId="3" fillId="4" borderId="0" xfId="0" applyFont="1" applyFill="1"/>
    <xf numFmtId="0" fontId="3" fillId="0" borderId="0" xfId="0" quotePrefix="1" applyFont="1"/>
    <xf numFmtId="0" fontId="3" fillId="0" borderId="0" xfId="0" applyFont="1" applyFill="1"/>
    <xf numFmtId="22" fontId="3" fillId="0" borderId="0" xfId="0" applyNumberFormat="1" applyFont="1"/>
    <xf numFmtId="0" fontId="2" fillId="0" borderId="0" xfId="0" applyFont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1" xfId="0" applyNumberFormat="1" applyFont="1" applyBorder="1"/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3" fillId="0" borderId="6" xfId="0" applyFont="1" applyBorder="1" applyAlignment="1">
      <alignment horizontal="center" vertical="center"/>
    </xf>
    <xf numFmtId="22" fontId="3" fillId="0" borderId="0" xfId="0" applyNumberFormat="1" applyFont="1" applyBorder="1"/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22" fontId="3" fillId="0" borderId="0" xfId="0" applyNumberFormat="1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Start User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4</xdr:row>
          <xdr:rowOff>0</xdr:rowOff>
        </xdr:from>
        <xdr:to>
          <xdr:col>7</xdr:col>
          <xdr:colOff>0</xdr:colOff>
          <xdr:row>5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Test (Not Used)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18"/>
  <sheetViews>
    <sheetView workbookViewId="0">
      <selection activeCell="H27" sqref="H27"/>
    </sheetView>
  </sheetViews>
  <sheetFormatPr defaultRowHeight="13.5" x14ac:dyDescent="0.25"/>
  <cols>
    <col min="1" max="1" width="9" style="2"/>
    <col min="2" max="2" width="9.375" style="2" bestFit="1" customWidth="1"/>
    <col min="3" max="3" width="5.75" style="2" bestFit="1" customWidth="1"/>
    <col min="4" max="4" width="7.25" style="2" bestFit="1" customWidth="1"/>
    <col min="5" max="16384" width="9" style="2"/>
  </cols>
  <sheetData>
    <row r="1" spans="1:7" x14ac:dyDescent="0.25">
      <c r="A1" s="3" t="s">
        <v>3</v>
      </c>
      <c r="B1" s="3" t="s">
        <v>9</v>
      </c>
      <c r="C1" s="3" t="s">
        <v>10</v>
      </c>
      <c r="D1" s="3" t="s">
        <v>11</v>
      </c>
    </row>
    <row r="4" spans="1:7" x14ac:dyDescent="0.25">
      <c r="G4" s="8"/>
    </row>
    <row r="10" spans="1:7" x14ac:dyDescent="0.25">
      <c r="G10" s="9"/>
    </row>
    <row r="14" spans="1:7" x14ac:dyDescent="0.25">
      <c r="E14" s="11"/>
    </row>
    <row r="18" spans="6:7" ht="15.75" x14ac:dyDescent="0.25">
      <c r="F18" s="10"/>
      <c r="G18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.test">
                <anchor moveWithCells="1" sizeWithCells="1">
                  <from>
                    <xdr:col>4</xdr:col>
                    <xdr:colOff>676275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14"/>
  <sheetViews>
    <sheetView workbookViewId="0">
      <pane ySplit="1" topLeftCell="A2" activePane="bottomLeft" state="frozen"/>
      <selection pane="bottomLeft" activeCell="F22" sqref="F22"/>
    </sheetView>
  </sheetViews>
  <sheetFormatPr defaultRowHeight="13.5" x14ac:dyDescent="0.25"/>
  <cols>
    <col min="1" max="1" width="3.25" style="2" bestFit="1" customWidth="1"/>
    <col min="2" max="2" width="16.875" style="2" bestFit="1" customWidth="1"/>
    <col min="3" max="3" width="11" style="2" bestFit="1" customWidth="1"/>
    <col min="4" max="4" width="21.75" style="2" bestFit="1" customWidth="1"/>
    <col min="5" max="5" width="11.875" style="13" bestFit="1" customWidth="1"/>
    <col min="6" max="6" width="10.125" style="5" bestFit="1" customWidth="1"/>
    <col min="7" max="16384" width="9" style="2"/>
  </cols>
  <sheetData>
    <row r="1" spans="1:6" s="8" customFormat="1" ht="27" x14ac:dyDescent="0.25">
      <c r="A1" s="6" t="s">
        <v>6</v>
      </c>
      <c r="B1" s="6" t="s">
        <v>3</v>
      </c>
      <c r="C1" s="6" t="s">
        <v>0</v>
      </c>
      <c r="D1" s="6" t="s">
        <v>1</v>
      </c>
      <c r="E1" s="12" t="s">
        <v>2</v>
      </c>
      <c r="F1" s="7" t="s">
        <v>20</v>
      </c>
    </row>
    <row r="2" spans="1:6" x14ac:dyDescent="0.25">
      <c r="A2" s="2" t="s">
        <v>37</v>
      </c>
      <c r="B2" s="2" t="s">
        <v>13</v>
      </c>
      <c r="C2" s="2" t="s">
        <v>12</v>
      </c>
      <c r="E2" s="13">
        <v>6500</v>
      </c>
      <c r="F2" s="5">
        <v>90</v>
      </c>
    </row>
    <row r="3" spans="1:6" x14ac:dyDescent="0.25">
      <c r="A3" s="2" t="s">
        <v>38</v>
      </c>
      <c r="B3" s="2" t="s">
        <v>13</v>
      </c>
      <c r="C3" s="2" t="s">
        <v>79</v>
      </c>
      <c r="E3" s="13">
        <v>6000</v>
      </c>
      <c r="F3" s="5">
        <v>89</v>
      </c>
    </row>
    <row r="4" spans="1:6" x14ac:dyDescent="0.25">
      <c r="A4" s="2" t="s">
        <v>39</v>
      </c>
      <c r="B4" s="2" t="s">
        <v>13</v>
      </c>
      <c r="C4" s="2" t="s">
        <v>72</v>
      </c>
      <c r="E4" s="13">
        <v>2398</v>
      </c>
      <c r="F4" s="5">
        <v>89</v>
      </c>
    </row>
    <row r="5" spans="1:6" x14ac:dyDescent="0.25">
      <c r="A5" s="2" t="s">
        <v>39</v>
      </c>
      <c r="B5" s="2" t="s">
        <v>13</v>
      </c>
      <c r="C5" s="2" t="s">
        <v>86</v>
      </c>
      <c r="E5" s="13">
        <v>2099</v>
      </c>
      <c r="F5" s="5">
        <v>89</v>
      </c>
    </row>
    <row r="6" spans="1:6" x14ac:dyDescent="0.25">
      <c r="A6" s="2" t="s">
        <v>40</v>
      </c>
      <c r="B6" s="4" t="s">
        <v>18</v>
      </c>
      <c r="C6" s="2" t="s">
        <v>17</v>
      </c>
      <c r="E6" s="13">
        <v>12999</v>
      </c>
      <c r="F6" s="5">
        <v>90</v>
      </c>
    </row>
    <row r="7" spans="1:6" x14ac:dyDescent="0.25">
      <c r="A7" s="2" t="s">
        <v>41</v>
      </c>
      <c r="B7" s="4" t="s">
        <v>18</v>
      </c>
      <c r="C7" s="2" t="s">
        <v>19</v>
      </c>
      <c r="E7" s="13">
        <v>6399</v>
      </c>
      <c r="F7" s="5">
        <v>95</v>
      </c>
    </row>
    <row r="8" spans="1:6" x14ac:dyDescent="0.25">
      <c r="A8" s="2" t="s">
        <v>70</v>
      </c>
      <c r="B8" s="2" t="s">
        <v>73</v>
      </c>
      <c r="C8" s="2" t="s">
        <v>76</v>
      </c>
      <c r="E8" s="13">
        <v>14980</v>
      </c>
      <c r="F8" s="5">
        <v>94</v>
      </c>
    </row>
    <row r="9" spans="1:6" x14ac:dyDescent="0.25">
      <c r="A9" s="2" t="s">
        <v>74</v>
      </c>
      <c r="B9" s="2" t="s">
        <v>73</v>
      </c>
      <c r="C9" s="2" t="s">
        <v>77</v>
      </c>
      <c r="E9" s="13">
        <v>6890</v>
      </c>
      <c r="F9" s="5">
        <v>97</v>
      </c>
    </row>
    <row r="10" spans="1:6" x14ac:dyDescent="0.25">
      <c r="A10" s="2" t="s">
        <v>80</v>
      </c>
      <c r="B10" s="2" t="s">
        <v>83</v>
      </c>
      <c r="C10" s="2" t="s">
        <v>82</v>
      </c>
      <c r="E10" s="13">
        <v>1800</v>
      </c>
      <c r="F10" s="5">
        <v>96</v>
      </c>
    </row>
    <row r="11" spans="1:6" x14ac:dyDescent="0.25">
      <c r="A11" s="2" t="s">
        <v>81</v>
      </c>
      <c r="B11" s="2" t="s">
        <v>83</v>
      </c>
      <c r="C11" s="2" t="s">
        <v>84</v>
      </c>
      <c r="E11" s="13">
        <v>5200</v>
      </c>
      <c r="F11" s="5">
        <v>88</v>
      </c>
    </row>
    <row r="12" spans="1:6" x14ac:dyDescent="0.25">
      <c r="A12" s="2" t="s">
        <v>89</v>
      </c>
      <c r="B12" s="2" t="s">
        <v>88</v>
      </c>
      <c r="C12" s="2" t="s">
        <v>93</v>
      </c>
      <c r="E12" s="13">
        <v>10</v>
      </c>
      <c r="F12" s="5">
        <v>99</v>
      </c>
    </row>
    <row r="13" spans="1:6" x14ac:dyDescent="0.25">
      <c r="A13" s="2" t="s">
        <v>91</v>
      </c>
      <c r="B13" s="2" t="s">
        <v>88</v>
      </c>
      <c r="C13" s="2" t="s">
        <v>95</v>
      </c>
      <c r="E13" s="13">
        <v>20</v>
      </c>
      <c r="F13" s="5">
        <v>94</v>
      </c>
    </row>
    <row r="14" spans="1:6" x14ac:dyDescent="0.25">
      <c r="A14" s="2" t="s">
        <v>92</v>
      </c>
      <c r="B14" s="2" t="s">
        <v>88</v>
      </c>
      <c r="C14" s="2" t="s">
        <v>96</v>
      </c>
      <c r="E14" s="13">
        <v>40</v>
      </c>
      <c r="F14" s="5">
        <v>88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F104"/>
  <sheetViews>
    <sheetView workbookViewId="0">
      <pane ySplit="1" topLeftCell="A2" activePane="bottomLeft" state="frozen"/>
      <selection pane="bottomLeft" activeCell="I29" sqref="I29"/>
    </sheetView>
  </sheetViews>
  <sheetFormatPr defaultRowHeight="13.5" x14ac:dyDescent="0.25"/>
  <cols>
    <col min="1" max="1" width="9" style="2"/>
    <col min="2" max="2" width="15" style="2" bestFit="1" customWidth="1"/>
    <col min="3" max="3" width="10.5" style="2" customWidth="1"/>
    <col min="4" max="4" width="11.875" style="2" bestFit="1" customWidth="1"/>
    <col min="5" max="5" width="11.875" style="13" bestFit="1" customWidth="1"/>
    <col min="6" max="16384" width="9" style="2"/>
  </cols>
  <sheetData>
    <row r="1" spans="1:6" x14ac:dyDescent="0.25">
      <c r="A1" s="3" t="s">
        <v>4</v>
      </c>
      <c r="B1" s="3" t="s">
        <v>5</v>
      </c>
      <c r="C1" s="3" t="s">
        <v>7</v>
      </c>
      <c r="D1" s="3" t="s">
        <v>0</v>
      </c>
      <c r="E1" s="3" t="s">
        <v>64</v>
      </c>
      <c r="F1" s="3" t="s">
        <v>8</v>
      </c>
    </row>
    <row r="2" spans="1:6" x14ac:dyDescent="0.25">
      <c r="A2" s="2">
        <v>1</v>
      </c>
      <c r="B2" s="18">
        <v>43607.715891203705</v>
      </c>
      <c r="C2" s="2" t="s">
        <v>51</v>
      </c>
      <c r="D2" s="2" t="s">
        <v>52</v>
      </c>
      <c r="E2" s="13">
        <v>6500</v>
      </c>
      <c r="F2" s="2">
        <v>1</v>
      </c>
    </row>
    <row r="3" spans="1:6" x14ac:dyDescent="0.25">
      <c r="A3" s="2">
        <v>2</v>
      </c>
      <c r="B3" s="18">
        <v>43607.715891203705</v>
      </c>
      <c r="C3" s="2" t="s">
        <v>49</v>
      </c>
      <c r="D3" s="2" t="s">
        <v>78</v>
      </c>
      <c r="E3" s="13">
        <v>6000</v>
      </c>
      <c r="F3" s="2">
        <v>2</v>
      </c>
    </row>
    <row r="4" spans="1:6" x14ac:dyDescent="0.25">
      <c r="A4" s="2">
        <v>3</v>
      </c>
      <c r="B4" s="18">
        <v>43607.715891203705</v>
      </c>
      <c r="C4" s="2" t="s">
        <v>48</v>
      </c>
      <c r="D4" s="2" t="s">
        <v>85</v>
      </c>
      <c r="E4" s="13">
        <v>2099</v>
      </c>
      <c r="F4" s="2">
        <v>3</v>
      </c>
    </row>
    <row r="5" spans="1:6" x14ac:dyDescent="0.25">
      <c r="A5" s="2">
        <v>4</v>
      </c>
      <c r="B5" s="18">
        <v>43607.715891203705</v>
      </c>
      <c r="C5" s="2" t="s">
        <v>46</v>
      </c>
      <c r="D5" s="2" t="s">
        <v>47</v>
      </c>
      <c r="E5" s="13">
        <v>6399</v>
      </c>
      <c r="F5" s="2">
        <v>1</v>
      </c>
    </row>
    <row r="6" spans="1:6" x14ac:dyDescent="0.25">
      <c r="A6" s="2">
        <v>5</v>
      </c>
      <c r="B6" s="18">
        <v>43607.715891203705</v>
      </c>
      <c r="C6" s="2" t="s">
        <v>100</v>
      </c>
      <c r="D6" s="2" t="s">
        <v>101</v>
      </c>
      <c r="E6" s="13">
        <v>6890</v>
      </c>
      <c r="F6" s="2">
        <v>3</v>
      </c>
    </row>
    <row r="7" spans="1:6" x14ac:dyDescent="0.25">
      <c r="A7" s="2">
        <v>6</v>
      </c>
      <c r="B7" s="18">
        <v>43607.715891203705</v>
      </c>
      <c r="C7" s="2" t="s">
        <v>102</v>
      </c>
      <c r="D7" s="2" t="s">
        <v>103</v>
      </c>
      <c r="E7" s="13">
        <v>5200</v>
      </c>
      <c r="F7" s="2">
        <v>5</v>
      </c>
    </row>
    <row r="8" spans="1:6" x14ac:dyDescent="0.25">
      <c r="A8" s="2">
        <v>7</v>
      </c>
      <c r="B8" s="18">
        <v>43607.716851851852</v>
      </c>
      <c r="C8" s="2" t="s">
        <v>51</v>
      </c>
      <c r="D8" s="2" t="s">
        <v>52</v>
      </c>
      <c r="E8" s="13">
        <v>6500</v>
      </c>
      <c r="F8" s="2">
        <v>1</v>
      </c>
    </row>
    <row r="9" spans="1:6" x14ac:dyDescent="0.25">
      <c r="A9" s="2">
        <v>8</v>
      </c>
      <c r="B9" s="18">
        <v>43607.716851851852</v>
      </c>
      <c r="C9" s="2" t="s">
        <v>48</v>
      </c>
      <c r="D9" s="2" t="s">
        <v>71</v>
      </c>
      <c r="E9" s="13">
        <v>2398</v>
      </c>
      <c r="F9" s="2">
        <v>3</v>
      </c>
    </row>
    <row r="10" spans="1:6" x14ac:dyDescent="0.25">
      <c r="A10" s="2">
        <v>9</v>
      </c>
      <c r="B10" s="18">
        <v>43607.716851851852</v>
      </c>
      <c r="C10" s="2" t="s">
        <v>104</v>
      </c>
      <c r="D10" s="2" t="s">
        <v>105</v>
      </c>
      <c r="E10" s="13">
        <v>1800</v>
      </c>
      <c r="F10" s="2">
        <v>4</v>
      </c>
    </row>
    <row r="11" spans="1:6" x14ac:dyDescent="0.25">
      <c r="A11" s="2">
        <v>10</v>
      </c>
      <c r="B11" s="18">
        <v>43607.71733796296</v>
      </c>
      <c r="C11" s="2" t="s">
        <v>51</v>
      </c>
      <c r="D11" s="2" t="s">
        <v>52</v>
      </c>
      <c r="E11" s="13">
        <v>6500</v>
      </c>
      <c r="F11" s="2">
        <v>1</v>
      </c>
    </row>
    <row r="12" spans="1:6" x14ac:dyDescent="0.25">
      <c r="A12" s="2">
        <v>11</v>
      </c>
      <c r="B12" s="18">
        <v>43607.71733796296</v>
      </c>
      <c r="C12" s="2" t="s">
        <v>49</v>
      </c>
      <c r="D12" s="2" t="s">
        <v>78</v>
      </c>
      <c r="E12" s="13">
        <v>6000</v>
      </c>
      <c r="F12" s="2">
        <v>2</v>
      </c>
    </row>
    <row r="13" spans="1:6" x14ac:dyDescent="0.25">
      <c r="A13" s="2">
        <v>12</v>
      </c>
      <c r="B13" s="18">
        <v>43607.71733796296</v>
      </c>
      <c r="C13" s="2" t="s">
        <v>48</v>
      </c>
      <c r="D13" s="2" t="s">
        <v>85</v>
      </c>
      <c r="E13" s="13">
        <v>2099</v>
      </c>
      <c r="F13" s="2">
        <v>4</v>
      </c>
    </row>
    <row r="14" spans="1:6" x14ac:dyDescent="0.25">
      <c r="A14" s="2">
        <v>13</v>
      </c>
      <c r="B14" s="18">
        <v>43607.71733796296</v>
      </c>
      <c r="C14" s="2" t="s">
        <v>53</v>
      </c>
      <c r="D14" s="2" t="s">
        <v>54</v>
      </c>
      <c r="E14" s="13">
        <v>12999</v>
      </c>
      <c r="F14" s="2">
        <v>5</v>
      </c>
    </row>
    <row r="15" spans="1:6" x14ac:dyDescent="0.25">
      <c r="A15" s="2">
        <v>14</v>
      </c>
      <c r="B15" s="18">
        <v>43607.72146990741</v>
      </c>
      <c r="C15" s="2" t="s">
        <v>51</v>
      </c>
      <c r="D15" s="2" t="s">
        <v>52</v>
      </c>
      <c r="E15" s="13">
        <v>6500</v>
      </c>
      <c r="F15" s="2">
        <v>1</v>
      </c>
    </row>
    <row r="16" spans="1:6" x14ac:dyDescent="0.25">
      <c r="A16" s="2">
        <v>15</v>
      </c>
      <c r="B16" s="18">
        <v>43607.72146990741</v>
      </c>
      <c r="C16" s="2" t="s">
        <v>48</v>
      </c>
      <c r="D16" s="2" t="s">
        <v>71</v>
      </c>
      <c r="E16" s="13">
        <v>2398</v>
      </c>
      <c r="F16" s="2">
        <v>3</v>
      </c>
    </row>
    <row r="17" spans="1:6" x14ac:dyDescent="0.25">
      <c r="A17" s="2">
        <v>16</v>
      </c>
      <c r="B17" s="18">
        <v>43607.72146990741</v>
      </c>
      <c r="C17" s="2" t="s">
        <v>46</v>
      </c>
      <c r="D17" s="2" t="s">
        <v>47</v>
      </c>
      <c r="E17" s="13">
        <v>6399</v>
      </c>
      <c r="F17" s="2">
        <v>3</v>
      </c>
    </row>
    <row r="18" spans="1:6" x14ac:dyDescent="0.25">
      <c r="A18" s="2">
        <v>17</v>
      </c>
      <c r="B18" s="18">
        <v>43607.72146990741</v>
      </c>
      <c r="C18" s="2" t="s">
        <v>102</v>
      </c>
      <c r="D18" s="2" t="s">
        <v>103</v>
      </c>
      <c r="E18" s="13">
        <v>5200</v>
      </c>
      <c r="F18" s="2">
        <v>7</v>
      </c>
    </row>
    <row r="19" spans="1:6" x14ac:dyDescent="0.25">
      <c r="A19" s="2">
        <v>18</v>
      </c>
      <c r="B19" s="18">
        <v>43607.72146990741</v>
      </c>
      <c r="C19" s="2" t="s">
        <v>90</v>
      </c>
      <c r="D19" s="2" t="s">
        <v>94</v>
      </c>
      <c r="E19" s="13">
        <v>20</v>
      </c>
      <c r="F19" s="2">
        <v>2</v>
      </c>
    </row>
    <row r="20" spans="1:6" x14ac:dyDescent="0.25">
      <c r="A20" s="2">
        <v>19</v>
      </c>
      <c r="B20" s="18">
        <v>43607.72146990741</v>
      </c>
      <c r="C20" s="2" t="s">
        <v>107</v>
      </c>
      <c r="D20" s="2" t="s">
        <v>108</v>
      </c>
      <c r="E20" s="13">
        <v>40</v>
      </c>
      <c r="F20" s="2">
        <v>2</v>
      </c>
    </row>
    <row r="21" spans="1:6" x14ac:dyDescent="0.25">
      <c r="A21" s="2">
        <v>20</v>
      </c>
      <c r="B21" s="18">
        <v>43607.722557870373</v>
      </c>
      <c r="C21" s="2" t="s">
        <v>49</v>
      </c>
      <c r="D21" s="2" t="s">
        <v>78</v>
      </c>
      <c r="E21" s="13">
        <v>6000</v>
      </c>
      <c r="F21" s="2">
        <v>3</v>
      </c>
    </row>
    <row r="22" spans="1:6" x14ac:dyDescent="0.25">
      <c r="A22" s="2">
        <v>21</v>
      </c>
      <c r="B22" s="18">
        <v>43607.722557870373</v>
      </c>
      <c r="C22" s="2" t="s">
        <v>48</v>
      </c>
      <c r="D22" s="2" t="s">
        <v>71</v>
      </c>
      <c r="E22" s="13">
        <v>2398</v>
      </c>
      <c r="F22" s="2">
        <v>2</v>
      </c>
    </row>
    <row r="23" spans="1:6" x14ac:dyDescent="0.25">
      <c r="A23" s="2">
        <v>22</v>
      </c>
      <c r="B23" s="18">
        <v>43607.722557870373</v>
      </c>
      <c r="C23" s="2" t="s">
        <v>69</v>
      </c>
      <c r="D23" s="2" t="s">
        <v>75</v>
      </c>
      <c r="E23" s="13">
        <v>14980</v>
      </c>
      <c r="F23" s="2">
        <v>2</v>
      </c>
    </row>
    <row r="24" spans="1:6" x14ac:dyDescent="0.25">
      <c r="A24" s="2">
        <v>23</v>
      </c>
      <c r="B24" s="18">
        <v>43607.722557870373</v>
      </c>
      <c r="C24" s="2" t="s">
        <v>90</v>
      </c>
      <c r="D24" s="2" t="s">
        <v>94</v>
      </c>
      <c r="E24" s="13">
        <v>20</v>
      </c>
      <c r="F24" s="2">
        <v>1</v>
      </c>
    </row>
    <row r="25" spans="1:6" x14ac:dyDescent="0.25">
      <c r="A25" s="2">
        <v>24</v>
      </c>
      <c r="B25" s="18">
        <v>43607.723749999997</v>
      </c>
      <c r="C25" s="2" t="s">
        <v>51</v>
      </c>
      <c r="D25" s="2" t="s">
        <v>52</v>
      </c>
      <c r="E25" s="13">
        <v>6500</v>
      </c>
      <c r="F25" s="2">
        <v>4</v>
      </c>
    </row>
    <row r="26" spans="1:6" x14ac:dyDescent="0.25">
      <c r="A26" s="2">
        <v>25</v>
      </c>
      <c r="B26" s="18">
        <v>43607.723749999997</v>
      </c>
      <c r="C26" s="2" t="s">
        <v>69</v>
      </c>
      <c r="D26" s="2" t="s">
        <v>75</v>
      </c>
      <c r="E26" s="13">
        <v>14980</v>
      </c>
      <c r="F26" s="2">
        <v>2</v>
      </c>
    </row>
    <row r="27" spans="1:6" x14ac:dyDescent="0.25">
      <c r="A27" s="2">
        <v>26</v>
      </c>
      <c r="B27" s="18">
        <v>43607.723749999997</v>
      </c>
      <c r="C27" s="2" t="s">
        <v>107</v>
      </c>
      <c r="D27" s="2" t="s">
        <v>108</v>
      </c>
      <c r="E27" s="13">
        <v>40</v>
      </c>
      <c r="F27" s="2">
        <v>10</v>
      </c>
    </row>
    <row r="28" spans="1:6" x14ac:dyDescent="0.25">
      <c r="B28" s="18"/>
    </row>
    <row r="29" spans="1:6" x14ac:dyDescent="0.25">
      <c r="B29" s="18"/>
    </row>
    <row r="30" spans="1:6" x14ac:dyDescent="0.25">
      <c r="B30" s="18"/>
    </row>
    <row r="31" spans="1:6" x14ac:dyDescent="0.25">
      <c r="B31" s="18"/>
    </row>
    <row r="32" spans="1:6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4" spans="2:2" x14ac:dyDescent="0.25">
      <c r="B44" s="18"/>
    </row>
    <row r="45" spans="2:2" x14ac:dyDescent="0.25">
      <c r="B45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  <row r="49" spans="2:2" x14ac:dyDescent="0.25">
      <c r="B49" s="18"/>
    </row>
    <row r="50" spans="2:2" x14ac:dyDescent="0.25">
      <c r="B50" s="18"/>
    </row>
    <row r="51" spans="2:2" x14ac:dyDescent="0.25">
      <c r="B51" s="18"/>
    </row>
    <row r="52" spans="2:2" x14ac:dyDescent="0.25">
      <c r="B52" s="18"/>
    </row>
    <row r="53" spans="2:2" x14ac:dyDescent="0.25">
      <c r="B53" s="18"/>
    </row>
    <row r="54" spans="2:2" x14ac:dyDescent="0.25">
      <c r="B54" s="18"/>
    </row>
    <row r="55" spans="2:2" x14ac:dyDescent="0.25">
      <c r="B55" s="18"/>
    </row>
    <row r="56" spans="2:2" x14ac:dyDescent="0.25">
      <c r="B56" s="18"/>
    </row>
    <row r="57" spans="2:2" x14ac:dyDescent="0.25">
      <c r="B57" s="18"/>
    </row>
    <row r="58" spans="2:2" x14ac:dyDescent="0.25">
      <c r="B58" s="18"/>
    </row>
    <row r="59" spans="2:2" x14ac:dyDescent="0.25">
      <c r="B59" s="18"/>
    </row>
    <row r="60" spans="2:2" x14ac:dyDescent="0.25">
      <c r="B60" s="18"/>
    </row>
    <row r="61" spans="2:2" x14ac:dyDescent="0.25">
      <c r="B61" s="18"/>
    </row>
    <row r="62" spans="2:2" x14ac:dyDescent="0.25">
      <c r="B62" s="18"/>
    </row>
    <row r="63" spans="2:2" x14ac:dyDescent="0.25">
      <c r="B63" s="18"/>
    </row>
    <row r="64" spans="2:2" x14ac:dyDescent="0.25">
      <c r="B64" s="18"/>
    </row>
    <row r="65" spans="2:2" x14ac:dyDescent="0.25">
      <c r="B65" s="18"/>
    </row>
    <row r="66" spans="2:2" x14ac:dyDescent="0.25">
      <c r="B66" s="18"/>
    </row>
    <row r="67" spans="2:2" x14ac:dyDescent="0.25">
      <c r="B67" s="18"/>
    </row>
    <row r="68" spans="2:2" x14ac:dyDescent="0.25">
      <c r="B68" s="18"/>
    </row>
    <row r="69" spans="2:2" x14ac:dyDescent="0.25">
      <c r="B69" s="18"/>
    </row>
    <row r="70" spans="2:2" x14ac:dyDescent="0.25">
      <c r="B70" s="18"/>
    </row>
    <row r="71" spans="2:2" x14ac:dyDescent="0.25">
      <c r="B71" s="18"/>
    </row>
    <row r="72" spans="2:2" x14ac:dyDescent="0.25">
      <c r="B72" s="18"/>
    </row>
    <row r="73" spans="2:2" x14ac:dyDescent="0.25">
      <c r="B73" s="18"/>
    </row>
    <row r="74" spans="2:2" x14ac:dyDescent="0.25">
      <c r="B74" s="18"/>
    </row>
    <row r="75" spans="2:2" x14ac:dyDescent="0.25">
      <c r="B75" s="18"/>
    </row>
    <row r="76" spans="2:2" x14ac:dyDescent="0.25">
      <c r="B76" s="18"/>
    </row>
    <row r="77" spans="2:2" x14ac:dyDescent="0.25">
      <c r="B77" s="18"/>
    </row>
    <row r="78" spans="2:2" x14ac:dyDescent="0.25">
      <c r="B78" s="18"/>
    </row>
    <row r="79" spans="2:2" x14ac:dyDescent="0.25">
      <c r="B79" s="18"/>
    </row>
    <row r="80" spans="2:2" x14ac:dyDescent="0.25">
      <c r="B80" s="18"/>
    </row>
    <row r="81" spans="2:2" x14ac:dyDescent="0.25">
      <c r="B81" s="18"/>
    </row>
    <row r="82" spans="2:2" x14ac:dyDescent="0.25">
      <c r="B82" s="18"/>
    </row>
    <row r="83" spans="2:2" x14ac:dyDescent="0.25">
      <c r="B83" s="18"/>
    </row>
    <row r="84" spans="2:2" x14ac:dyDescent="0.25">
      <c r="B84" s="18"/>
    </row>
    <row r="85" spans="2:2" x14ac:dyDescent="0.25">
      <c r="B85" s="18"/>
    </row>
    <row r="86" spans="2:2" x14ac:dyDescent="0.25">
      <c r="B86" s="18"/>
    </row>
    <row r="87" spans="2:2" x14ac:dyDescent="0.25">
      <c r="B87" s="18"/>
    </row>
    <row r="88" spans="2:2" x14ac:dyDescent="0.25">
      <c r="B88" s="18"/>
    </row>
    <row r="89" spans="2:2" x14ac:dyDescent="0.25">
      <c r="B89" s="18"/>
    </row>
    <row r="90" spans="2:2" x14ac:dyDescent="0.25">
      <c r="B90" s="18"/>
    </row>
    <row r="91" spans="2:2" x14ac:dyDescent="0.25">
      <c r="B91" s="18"/>
    </row>
    <row r="92" spans="2:2" x14ac:dyDescent="0.25">
      <c r="B92" s="18"/>
    </row>
    <row r="93" spans="2:2" x14ac:dyDescent="0.25">
      <c r="B93" s="18"/>
    </row>
    <row r="94" spans="2:2" x14ac:dyDescent="0.25">
      <c r="B94" s="18"/>
    </row>
    <row r="95" spans="2:2" x14ac:dyDescent="0.25">
      <c r="B95" s="18"/>
    </row>
    <row r="96" spans="2:2" x14ac:dyDescent="0.25">
      <c r="B96" s="18"/>
    </row>
    <row r="97" spans="2:2" x14ac:dyDescent="0.25">
      <c r="B97" s="18"/>
    </row>
    <row r="98" spans="2:2" x14ac:dyDescent="0.25">
      <c r="B98" s="18"/>
    </row>
    <row r="99" spans="2:2" x14ac:dyDescent="0.25">
      <c r="B99" s="18"/>
    </row>
    <row r="100" spans="2:2" x14ac:dyDescent="0.25">
      <c r="B100" s="18"/>
    </row>
    <row r="101" spans="2:2" x14ac:dyDescent="0.25">
      <c r="B101" s="18"/>
    </row>
    <row r="102" spans="2:2" x14ac:dyDescent="0.25">
      <c r="B102" s="18"/>
    </row>
    <row r="103" spans="2:2" x14ac:dyDescent="0.25">
      <c r="B103" s="18"/>
    </row>
    <row r="104" spans="2:2" x14ac:dyDescent="0.25">
      <c r="B104" s="1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"/>
  <sheetViews>
    <sheetView workbookViewId="0">
      <selection activeCell="G15" sqref="G15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23"/>
  <sheetViews>
    <sheetView showGridLines="0" zoomScale="120" zoomScaleNormal="120" workbookViewId="0">
      <selection activeCell="I15" sqref="I15"/>
    </sheetView>
  </sheetViews>
  <sheetFormatPr defaultRowHeight="15.75" x14ac:dyDescent="0.25"/>
  <cols>
    <col min="1" max="1" width="6.5" style="19" bestFit="1" customWidth="1"/>
    <col min="2" max="2" width="14.875" style="19" bestFit="1" customWidth="1"/>
    <col min="3" max="3" width="8.375" style="19" bestFit="1" customWidth="1"/>
    <col min="4" max="4" width="15" style="19" bestFit="1" customWidth="1"/>
    <col min="5" max="5" width="13" style="19" bestFit="1" customWidth="1"/>
    <col min="6" max="6" width="2.75" style="19" customWidth="1"/>
    <col min="7" max="16384" width="9" style="19"/>
  </cols>
  <sheetData>
    <row r="1" spans="1:6" ht="16.5" x14ac:dyDescent="0.25">
      <c r="A1" s="25" t="s">
        <v>56</v>
      </c>
      <c r="B1" s="26"/>
      <c r="C1" s="26"/>
      <c r="D1" s="26"/>
      <c r="E1" s="26"/>
      <c r="F1" s="27"/>
    </row>
    <row r="2" spans="1:6" ht="16.5" x14ac:dyDescent="0.25">
      <c r="A2" s="28" t="s">
        <v>62</v>
      </c>
      <c r="B2" s="29"/>
      <c r="C2" s="29"/>
      <c r="D2" s="29"/>
      <c r="E2" s="29"/>
      <c r="F2" s="30"/>
    </row>
    <row r="3" spans="1:6" x14ac:dyDescent="0.25">
      <c r="A3" s="31"/>
      <c r="B3" s="32"/>
      <c r="C3" s="32"/>
      <c r="D3" s="32"/>
      <c r="E3" s="32"/>
      <c r="F3" s="33"/>
    </row>
    <row r="4" spans="1:6" x14ac:dyDescent="0.25">
      <c r="A4" s="34"/>
      <c r="B4" s="24" t="s">
        <v>59</v>
      </c>
      <c r="C4" s="35"/>
      <c r="D4" s="44"/>
      <c r="E4" s="36"/>
      <c r="F4" s="30"/>
    </row>
    <row r="5" spans="1:6" x14ac:dyDescent="0.25">
      <c r="A5" s="34"/>
      <c r="B5" s="24"/>
      <c r="C5" s="24"/>
      <c r="D5" s="24"/>
      <c r="E5" s="36"/>
      <c r="F5" s="30"/>
    </row>
    <row r="6" spans="1:6" x14ac:dyDescent="0.25">
      <c r="A6" s="20" t="s">
        <v>61</v>
      </c>
      <c r="B6" s="20" t="s">
        <v>58</v>
      </c>
      <c r="C6" s="20" t="s">
        <v>55</v>
      </c>
      <c r="D6" s="23" t="s">
        <v>57</v>
      </c>
      <c r="E6" s="23" t="s">
        <v>106</v>
      </c>
      <c r="F6" s="37"/>
    </row>
    <row r="7" spans="1:6" x14ac:dyDescent="0.25">
      <c r="A7" s="21"/>
      <c r="B7" s="21"/>
      <c r="C7" s="21"/>
      <c r="D7" s="22"/>
      <c r="E7" s="22" t="str">
        <f>IF($C7="","",$C7*$D7)</f>
        <v/>
      </c>
      <c r="F7" s="37"/>
    </row>
    <row r="8" spans="1:6" x14ac:dyDescent="0.25">
      <c r="A8" s="21"/>
      <c r="B8" s="21"/>
      <c r="C8" s="21"/>
      <c r="D8" s="22"/>
      <c r="E8" s="22" t="str">
        <f t="shared" ref="E8:E20" si="0">IF($C8="","",$C8*$D8)</f>
        <v/>
      </c>
      <c r="F8" s="37"/>
    </row>
    <row r="9" spans="1:6" x14ac:dyDescent="0.25">
      <c r="A9" s="21"/>
      <c r="B9" s="21"/>
      <c r="C9" s="21"/>
      <c r="D9" s="22"/>
      <c r="E9" s="22" t="str">
        <f t="shared" si="0"/>
        <v/>
      </c>
      <c r="F9" s="37"/>
    </row>
    <row r="10" spans="1:6" x14ac:dyDescent="0.25">
      <c r="A10" s="21"/>
      <c r="B10" s="21"/>
      <c r="C10" s="21"/>
      <c r="D10" s="22"/>
      <c r="E10" s="22" t="str">
        <f t="shared" si="0"/>
        <v/>
      </c>
      <c r="F10" s="37"/>
    </row>
    <row r="11" spans="1:6" x14ac:dyDescent="0.25">
      <c r="A11" s="21"/>
      <c r="B11" s="21"/>
      <c r="C11" s="21"/>
      <c r="D11" s="22"/>
      <c r="E11" s="22" t="str">
        <f t="shared" si="0"/>
        <v/>
      </c>
      <c r="F11" s="37"/>
    </row>
    <row r="12" spans="1:6" x14ac:dyDescent="0.25">
      <c r="A12" s="21"/>
      <c r="B12" s="21"/>
      <c r="C12" s="21"/>
      <c r="D12" s="22"/>
      <c r="E12" s="22" t="str">
        <f t="shared" si="0"/>
        <v/>
      </c>
      <c r="F12" s="37"/>
    </row>
    <row r="13" spans="1:6" x14ac:dyDescent="0.25">
      <c r="A13" s="21"/>
      <c r="B13" s="21"/>
      <c r="C13" s="21"/>
      <c r="D13" s="22"/>
      <c r="E13" s="22" t="str">
        <f t="shared" si="0"/>
        <v/>
      </c>
      <c r="F13" s="37"/>
    </row>
    <row r="14" spans="1:6" x14ac:dyDescent="0.25">
      <c r="A14" s="21"/>
      <c r="B14" s="21"/>
      <c r="C14" s="21"/>
      <c r="D14" s="22"/>
      <c r="E14" s="22" t="str">
        <f t="shared" si="0"/>
        <v/>
      </c>
      <c r="F14" s="37"/>
    </row>
    <row r="15" spans="1:6" x14ac:dyDescent="0.25">
      <c r="A15" s="21"/>
      <c r="B15" s="21"/>
      <c r="C15" s="21"/>
      <c r="D15" s="22"/>
      <c r="E15" s="22" t="str">
        <f t="shared" si="0"/>
        <v/>
      </c>
      <c r="F15" s="37"/>
    </row>
    <row r="16" spans="1:6" x14ac:dyDescent="0.25">
      <c r="A16" s="21"/>
      <c r="B16" s="21"/>
      <c r="C16" s="21"/>
      <c r="D16" s="22"/>
      <c r="E16" s="22" t="str">
        <f t="shared" si="0"/>
        <v/>
      </c>
      <c r="F16" s="37"/>
    </row>
    <row r="17" spans="1:6" x14ac:dyDescent="0.25">
      <c r="A17" s="21"/>
      <c r="B17" s="21"/>
      <c r="C17" s="21"/>
      <c r="D17" s="22"/>
      <c r="E17" s="22" t="str">
        <f t="shared" si="0"/>
        <v/>
      </c>
      <c r="F17" s="37"/>
    </row>
    <row r="18" spans="1:6" x14ac:dyDescent="0.25">
      <c r="A18" s="21"/>
      <c r="B18" s="21"/>
      <c r="C18" s="21"/>
      <c r="D18" s="22"/>
      <c r="E18" s="22" t="str">
        <f t="shared" si="0"/>
        <v/>
      </c>
      <c r="F18" s="37"/>
    </row>
    <row r="19" spans="1:6" x14ac:dyDescent="0.25">
      <c r="A19" s="21"/>
      <c r="B19" s="21"/>
      <c r="C19" s="21"/>
      <c r="D19" s="22"/>
      <c r="E19" s="22" t="str">
        <f t="shared" si="0"/>
        <v/>
      </c>
      <c r="F19" s="37"/>
    </row>
    <row r="20" spans="1:6" x14ac:dyDescent="0.25">
      <c r="A20" s="21"/>
      <c r="B20" s="21"/>
      <c r="C20" s="21"/>
      <c r="D20" s="22"/>
      <c r="E20" s="22" t="str">
        <f t="shared" si="0"/>
        <v/>
      </c>
      <c r="F20" s="37"/>
    </row>
    <row r="21" spans="1:6" x14ac:dyDescent="0.25">
      <c r="A21" s="38"/>
      <c r="B21" s="36"/>
      <c r="C21" s="36"/>
      <c r="D21" s="36"/>
      <c r="E21" s="36"/>
      <c r="F21" s="30"/>
    </row>
    <row r="22" spans="1:6" x14ac:dyDescent="0.25">
      <c r="A22" s="39"/>
      <c r="B22" s="40"/>
      <c r="C22" s="24"/>
      <c r="D22" s="21" t="s">
        <v>60</v>
      </c>
      <c r="E22" s="22">
        <f>SUM($E7:$E20)</f>
        <v>0</v>
      </c>
      <c r="F22" s="37"/>
    </row>
    <row r="23" spans="1:6" x14ac:dyDescent="0.25">
      <c r="A23" s="41"/>
      <c r="B23" s="42"/>
      <c r="C23" s="42"/>
      <c r="D23" s="42"/>
      <c r="E23" s="42"/>
      <c r="F23" s="43"/>
    </row>
  </sheetData>
  <mergeCells count="2">
    <mergeCell ref="A1:E1"/>
    <mergeCell ref="A2:E2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26"/>
  <sheetViews>
    <sheetView tabSelected="1" workbookViewId="0">
      <selection activeCell="C36" sqref="C36"/>
    </sheetView>
  </sheetViews>
  <sheetFormatPr defaultRowHeight="13.5" x14ac:dyDescent="0.25"/>
  <cols>
    <col min="1" max="2" width="9" style="2"/>
    <col min="3" max="3" width="45.875" style="2" bestFit="1" customWidth="1"/>
    <col min="4" max="4" width="35.375" style="2" bestFit="1" customWidth="1"/>
    <col min="5" max="16384" width="9" style="2"/>
  </cols>
  <sheetData>
    <row r="1" spans="1:4" x14ac:dyDescent="0.25">
      <c r="A1" s="3" t="s">
        <v>3</v>
      </c>
      <c r="B1" s="3" t="s">
        <v>14</v>
      </c>
      <c r="C1" s="3" t="s">
        <v>15</v>
      </c>
      <c r="D1" s="3" t="s">
        <v>16</v>
      </c>
    </row>
    <row r="2" spans="1:4" s="17" customFormat="1" x14ac:dyDescent="0.25">
      <c r="A2" s="17" t="s">
        <v>25</v>
      </c>
      <c r="B2" s="17" t="s">
        <v>26</v>
      </c>
      <c r="C2" s="17" t="s">
        <v>27</v>
      </c>
      <c r="D2" s="15" t="s">
        <v>28</v>
      </c>
    </row>
    <row r="3" spans="1:4" x14ac:dyDescent="0.25">
      <c r="A3" s="2" t="s">
        <v>23</v>
      </c>
      <c r="B3" s="2" t="s">
        <v>21</v>
      </c>
      <c r="C3" s="2" t="s">
        <v>22</v>
      </c>
      <c r="D3" s="14" t="s">
        <v>24</v>
      </c>
    </row>
    <row r="4" spans="1:4" x14ac:dyDescent="0.25">
      <c r="A4" s="2" t="s">
        <v>50</v>
      </c>
      <c r="B4" s="2" t="s">
        <v>68</v>
      </c>
      <c r="C4" s="2" t="s">
        <v>97</v>
      </c>
      <c r="D4" s="15" t="s">
        <v>28</v>
      </c>
    </row>
    <row r="6" spans="1:4" x14ac:dyDescent="0.25">
      <c r="A6" s="2" t="s">
        <v>25</v>
      </c>
      <c r="B6" s="2" t="s">
        <v>29</v>
      </c>
      <c r="C6" s="2" t="s">
        <v>30</v>
      </c>
      <c r="D6" s="14" t="s">
        <v>36</v>
      </c>
    </row>
    <row r="7" spans="1:4" x14ac:dyDescent="0.25">
      <c r="A7" s="2" t="s">
        <v>25</v>
      </c>
      <c r="B7" s="2" t="s">
        <v>29</v>
      </c>
      <c r="C7" s="2" t="s">
        <v>87</v>
      </c>
      <c r="D7" s="17"/>
    </row>
    <row r="8" spans="1:4" x14ac:dyDescent="0.25">
      <c r="A8" s="2" t="s">
        <v>66</v>
      </c>
      <c r="B8" s="2" t="s">
        <v>98</v>
      </c>
      <c r="C8" s="2" t="s">
        <v>99</v>
      </c>
      <c r="D8" s="15" t="s">
        <v>28</v>
      </c>
    </row>
    <row r="9" spans="1:4" x14ac:dyDescent="0.25">
      <c r="D9" s="17"/>
    </row>
    <row r="10" spans="1:4" x14ac:dyDescent="0.25">
      <c r="A10" s="2" t="s">
        <v>25</v>
      </c>
      <c r="B10" s="2" t="s">
        <v>31</v>
      </c>
      <c r="C10" s="2" t="s">
        <v>32</v>
      </c>
      <c r="D10" s="15" t="s">
        <v>44</v>
      </c>
    </row>
    <row r="11" spans="1:4" x14ac:dyDescent="0.25">
      <c r="A11" s="2" t="s">
        <v>25</v>
      </c>
      <c r="B11" s="2" t="s">
        <v>31</v>
      </c>
      <c r="C11" s="2" t="s">
        <v>67</v>
      </c>
    </row>
    <row r="12" spans="1:4" x14ac:dyDescent="0.25">
      <c r="A12" s="16"/>
    </row>
    <row r="13" spans="1:4" x14ac:dyDescent="0.25">
      <c r="A13" s="16" t="s">
        <v>25</v>
      </c>
      <c r="B13" s="2" t="s">
        <v>34</v>
      </c>
      <c r="C13" s="2" t="s">
        <v>45</v>
      </c>
      <c r="D13" s="15" t="s">
        <v>44</v>
      </c>
    </row>
    <row r="14" spans="1:4" x14ac:dyDescent="0.25">
      <c r="A14" s="16" t="s">
        <v>25</v>
      </c>
      <c r="B14" s="2" t="s">
        <v>35</v>
      </c>
      <c r="C14" s="2" t="s">
        <v>45</v>
      </c>
      <c r="D14" s="15" t="s">
        <v>44</v>
      </c>
    </row>
    <row r="15" spans="1:4" x14ac:dyDescent="0.25">
      <c r="A15" s="16" t="s">
        <v>25</v>
      </c>
      <c r="B15" s="2" t="s">
        <v>33</v>
      </c>
      <c r="C15" s="2" t="s">
        <v>45</v>
      </c>
      <c r="D15" s="15" t="s">
        <v>44</v>
      </c>
    </row>
    <row r="16" spans="1:4" x14ac:dyDescent="0.25">
      <c r="A16" s="16" t="s">
        <v>25</v>
      </c>
      <c r="B16" s="2" t="s">
        <v>65</v>
      </c>
    </row>
    <row r="17" spans="1:3" x14ac:dyDescent="0.25">
      <c r="A17" s="16"/>
    </row>
    <row r="18" spans="1:3" x14ac:dyDescent="0.25">
      <c r="A18" s="2" t="s">
        <v>42</v>
      </c>
      <c r="B18" s="2" t="s">
        <v>43</v>
      </c>
      <c r="C18" s="2" t="s">
        <v>63</v>
      </c>
    </row>
    <row r="20" spans="1:3" x14ac:dyDescent="0.25">
      <c r="A20" s="2" t="s">
        <v>109</v>
      </c>
      <c r="B20" s="2" t="s">
        <v>110</v>
      </c>
      <c r="C20" s="2" t="s">
        <v>111</v>
      </c>
    </row>
    <row r="21" spans="1:3" x14ac:dyDescent="0.25">
      <c r="A21" s="2" t="s">
        <v>109</v>
      </c>
    </row>
    <row r="22" spans="1:3" x14ac:dyDescent="0.25">
      <c r="A22" s="2" t="s">
        <v>109</v>
      </c>
    </row>
    <row r="23" spans="1:3" x14ac:dyDescent="0.25">
      <c r="A23" s="2" t="s">
        <v>109</v>
      </c>
    </row>
    <row r="24" spans="1:3" x14ac:dyDescent="0.25">
      <c r="A24" s="2" t="s">
        <v>109</v>
      </c>
    </row>
    <row r="25" spans="1:3" x14ac:dyDescent="0.25">
      <c r="A25" s="2" t="s">
        <v>109</v>
      </c>
    </row>
    <row r="26" spans="1:3" x14ac:dyDescent="0.25">
      <c r="A26" s="2" t="s">
        <v>109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</vt:i4>
      </vt:variant>
    </vt:vector>
  </HeadingPairs>
  <TitlesOfParts>
    <vt:vector size="7" baseType="lpstr">
      <vt:lpstr>Config</vt:lpstr>
      <vt:lpstr>Item</vt:lpstr>
      <vt:lpstr>Record</vt:lpstr>
      <vt:lpstr>Analysis</vt:lpstr>
      <vt:lpstr>Memo</vt:lpstr>
      <vt:lpstr>Log</vt:lpstr>
      <vt:lpstr>Memo!Print_Area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2019-05-22T09:32:05Z</dcterms:modified>
</cp:coreProperties>
</file>